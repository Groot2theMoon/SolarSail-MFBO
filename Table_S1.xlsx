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/>
  <mc:AlternateContent xmlns:mc="http://schemas.openxmlformats.org/markup-compatibility/2006">
    <mc:Choice Requires="x15">
      <x15ac:absPath xmlns:x15ac="http://schemas.microsoft.com/office/spreadsheetml/2010/11/ac" url="/Users/goehring/Work/My papers/Megha_wrinkling/Wrinkling and imaging of thin curved sheets-4/"/>
    </mc:Choice>
  </mc:AlternateContent>
  <xr:revisionPtr revIDLastSave="0" documentId="13_ncr:1_{0109626F-7594-5042-857D-56F088865ACC}" xr6:coauthVersionLast="47" xr6:coauthVersionMax="47" xr10:uidLastSave="{00000000-0000-0000-0000-000000000000}"/>
  <bookViews>
    <workbookView xWindow="0" yWindow="760" windowWidth="32060" windowHeight="16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2" i="1"/>
  <c r="M21" i="1"/>
  <c r="M20" i="1"/>
  <c r="M19" i="1"/>
  <c r="M13" i="1"/>
  <c r="M12" i="1"/>
  <c r="M11" i="1"/>
  <c r="M10" i="1"/>
  <c r="M9" i="1"/>
  <c r="M8" i="1"/>
  <c r="M7" i="1"/>
  <c r="M6" i="1"/>
  <c r="M5" i="1"/>
  <c r="M4" i="1"/>
  <c r="C4" i="1" l="1"/>
  <c r="C5" i="1"/>
  <c r="C6" i="1"/>
  <c r="K6" i="1" s="1"/>
  <c r="C7" i="1"/>
  <c r="C8" i="1"/>
  <c r="C9" i="1"/>
  <c r="L9" i="1" s="1"/>
  <c r="C10" i="1"/>
  <c r="K10" i="1" s="1"/>
  <c r="C11" i="1"/>
  <c r="C12" i="1"/>
  <c r="L12" i="1" s="1"/>
  <c r="C13" i="1"/>
  <c r="L13" i="1" s="1"/>
  <c r="K11" i="1"/>
  <c r="K7" i="1"/>
  <c r="K23" i="1"/>
  <c r="K22" i="1"/>
  <c r="K21" i="1"/>
  <c r="K20" i="1"/>
  <c r="K19" i="1"/>
  <c r="L23" i="1"/>
  <c r="L22" i="1"/>
  <c r="L21" i="1"/>
  <c r="L20" i="1"/>
  <c r="L19" i="1"/>
  <c r="L7" i="1"/>
  <c r="L5" i="1"/>
  <c r="L4" i="1"/>
  <c r="K13" i="1"/>
  <c r="K12" i="1"/>
  <c r="K4" i="1"/>
  <c r="N23" i="1"/>
  <c r="N22" i="1"/>
  <c r="N21" i="1"/>
  <c r="N20" i="1"/>
  <c r="N19" i="1"/>
  <c r="N13" i="1"/>
  <c r="N12" i="1"/>
  <c r="N11" i="1"/>
  <c r="N10" i="1"/>
  <c r="N9" i="1"/>
  <c r="N8" i="1"/>
  <c r="N7" i="1"/>
  <c r="N6" i="1"/>
  <c r="N5" i="1"/>
  <c r="N4" i="1"/>
  <c r="H4" i="1"/>
  <c r="L6" i="1" l="1"/>
  <c r="L10" i="1"/>
  <c r="K9" i="1"/>
  <c r="L11" i="1"/>
  <c r="L8" i="1"/>
  <c r="K8" i="1"/>
  <c r="K5" i="1"/>
  <c r="G5" i="1"/>
  <c r="G6" i="1"/>
  <c r="G7" i="1"/>
  <c r="G8" i="1"/>
  <c r="G9" i="1"/>
  <c r="G10" i="1"/>
  <c r="G11" i="1"/>
  <c r="G12" i="1"/>
  <c r="G13" i="1"/>
  <c r="G19" i="1"/>
  <c r="G20" i="1"/>
  <c r="G21" i="1"/>
  <c r="G22" i="1"/>
  <c r="G23" i="1"/>
  <c r="G4" i="1"/>
  <c r="H5" i="1"/>
  <c r="H6" i="1"/>
  <c r="H7" i="1"/>
  <c r="H8" i="1"/>
  <c r="H9" i="1"/>
  <c r="H10" i="1"/>
  <c r="H11" i="1"/>
  <c r="H12" i="1"/>
  <c r="H13" i="1"/>
  <c r="H19" i="1"/>
  <c r="H20" i="1"/>
  <c r="H21" i="1"/>
  <c r="H22" i="1"/>
  <c r="H23" i="1"/>
  <c r="C19" i="1" l="1"/>
  <c r="B20" i="1"/>
  <c r="B21" i="1" s="1"/>
  <c r="B22" i="1" s="1"/>
  <c r="B23" i="1" s="1"/>
  <c r="A20" i="1"/>
  <c r="A21" i="1" s="1"/>
  <c r="A22" i="1" s="1"/>
  <c r="A23" i="1" s="1"/>
  <c r="A5" i="1"/>
  <c r="A6" i="1" s="1"/>
  <c r="A7" i="1" s="1"/>
  <c r="A8" i="1" s="1"/>
  <c r="A9" i="1" s="1"/>
  <c r="A10" i="1" s="1"/>
  <c r="A11" i="1" s="1"/>
  <c r="A12" i="1" s="1"/>
  <c r="C23" i="1" l="1"/>
  <c r="A13" i="1"/>
  <c r="C22" i="1"/>
  <c r="C20" i="1"/>
  <c r="C21" i="1"/>
</calcChain>
</file>

<file path=xl/sharedStrings.xml><?xml version="1.0" encoding="utf-8"?>
<sst xmlns="http://schemas.openxmlformats.org/spreadsheetml/2006/main" count="30" uniqueCount="19">
  <si>
    <t>NEGATIVE CURVATURE</t>
  </si>
  <si>
    <t>POSITIVE CURVATURE</t>
  </si>
  <si>
    <t>Width W (m)</t>
  </si>
  <si>
    <t>R1 (m)</t>
  </si>
  <si>
    <t>R2 (m)</t>
  </si>
  <si>
    <t>Thickness t (m)</t>
  </si>
  <si>
    <r>
      <t>Λ = (B/K</t>
    </r>
    <r>
      <rPr>
        <b/>
        <vertAlign val="subscript"/>
        <sz val="11"/>
        <color theme="1"/>
        <rFont val="Times New Roman"/>
        <family val="1"/>
      </rPr>
      <t>g</t>
    </r>
    <r>
      <rPr>
        <b/>
        <sz val="11"/>
        <color theme="1"/>
        <rFont val="Times New Roman"/>
        <family val="1"/>
      </rPr>
      <t>)</t>
    </r>
    <r>
      <rPr>
        <b/>
        <vertAlign val="superscript"/>
        <sz val="11"/>
        <color theme="1"/>
        <rFont val="Times New Roman"/>
        <family val="1"/>
      </rPr>
      <t>1/4</t>
    </r>
    <r>
      <rPr>
        <b/>
        <sz val="11"/>
        <color theme="1"/>
        <rFont val="Times New Roman"/>
        <family val="1"/>
      </rPr>
      <t xml:space="preserve"> (m)</t>
    </r>
  </si>
  <si>
    <r>
      <t>Bendability
(YW</t>
    </r>
    <r>
      <rPr>
        <b/>
        <vertAlign val="super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>κ)/B</t>
    </r>
  </si>
  <si>
    <t>Surface tension γ (N/m)</t>
  </si>
  <si>
    <r>
      <t>Deformability
Yκ/K</t>
    </r>
    <r>
      <rPr>
        <b/>
        <vertAlign val="subscript"/>
        <sz val="11"/>
        <color theme="1"/>
        <rFont val="Times New Roman"/>
        <family val="1"/>
      </rPr>
      <t>g</t>
    </r>
  </si>
  <si>
    <r>
      <t>Bending stiffness
B = Et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/9 (N m)</t>
    </r>
  </si>
  <si>
    <t>Gaussian curvature κ (m)</t>
  </si>
  <si>
    <t>Youngs modulus E (Pa)</t>
  </si>
  <si>
    <t>Stretching modulus
Y = Et (N/m)</t>
  </si>
  <si>
    <r>
      <t>Gravitational stiffness K</t>
    </r>
    <r>
      <rPr>
        <b/>
        <vertAlign val="subscript"/>
        <sz val="11"/>
        <color theme="1"/>
        <rFont val="Times New Roman"/>
        <family val="1"/>
      </rPr>
      <t>g</t>
    </r>
    <r>
      <rPr>
        <b/>
        <sz val="11"/>
        <color theme="1"/>
        <rFont val="Times New Roman"/>
        <family val="1"/>
      </rPr>
      <t xml:space="preserve"> (N/m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</si>
  <si>
    <r>
      <t>Confinement
YW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κ/γ</t>
    </r>
  </si>
  <si>
    <r>
      <t>Bendability
|YW</t>
    </r>
    <r>
      <rPr>
        <b/>
        <vertAlign val="super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>κ|/B</t>
    </r>
  </si>
  <si>
    <r>
      <t>Deformability
|Yκ|/K</t>
    </r>
    <r>
      <rPr>
        <b/>
        <vertAlign val="subscript"/>
        <sz val="11"/>
        <color theme="1"/>
        <rFont val="Times New Roman"/>
        <family val="1"/>
      </rPr>
      <t>g</t>
    </r>
  </si>
  <si>
    <r>
      <t>Confinement
|YW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κ|/γ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</si>
</sst>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1" fontId="1" fillId="0" borderId="0" xfId="0" applyNumberFormat="1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/>
    </xf>
    <xf numFmtId="11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3" max="3" width="18.1640625" style="6" customWidth="1"/>
    <col min="4" max="4" width="14" style="6" customWidth="1"/>
    <col min="5" max="5" width="16.5" style="11" customWidth="1"/>
    <col min="6" max="6" width="16" style="6" customWidth="1"/>
    <col min="7" max="7" width="20.1640625" style="6" customWidth="1"/>
    <col min="8" max="8" width="14.83203125" customWidth="1"/>
    <col min="9" max="9" width="13.83203125" style="6" customWidth="1"/>
    <col min="10" max="10" width="21" style="6" customWidth="1"/>
    <col min="11" max="11" width="17.5" style="6" customWidth="1"/>
    <col min="12" max="12" width="14" style="6" customWidth="1"/>
    <col min="13" max="13" width="14.5" style="6" customWidth="1"/>
    <col min="14" max="14" width="15.5" customWidth="1"/>
    <col min="16" max="16" width="20.5" customWidth="1"/>
  </cols>
  <sheetData>
    <row r="1" spans="1:16" x14ac:dyDescent="0.2">
      <c r="A1" s="1" t="s">
        <v>0</v>
      </c>
      <c r="B1" s="1"/>
      <c r="C1" s="10"/>
    </row>
    <row r="2" spans="1:16" x14ac:dyDescent="0.2">
      <c r="A2" s="3"/>
      <c r="B2" s="3"/>
      <c r="C2" s="9"/>
      <c r="D2" s="7"/>
      <c r="E2" s="12"/>
      <c r="F2" s="7"/>
      <c r="G2" s="7"/>
      <c r="H2" s="2"/>
      <c r="I2" s="7"/>
      <c r="J2" s="7"/>
      <c r="K2" s="7"/>
      <c r="L2" s="7"/>
      <c r="M2" s="7"/>
      <c r="N2" s="2"/>
    </row>
    <row r="3" spans="1:16" s="3" customFormat="1" ht="44.5" customHeight="1" x14ac:dyDescent="0.2">
      <c r="A3" s="3" t="s">
        <v>3</v>
      </c>
      <c r="B3" s="3" t="s">
        <v>4</v>
      </c>
      <c r="C3" s="8" t="s">
        <v>11</v>
      </c>
      <c r="D3" s="9" t="s">
        <v>2</v>
      </c>
      <c r="E3" s="13" t="s">
        <v>5</v>
      </c>
      <c r="F3" s="8" t="s">
        <v>12</v>
      </c>
      <c r="G3" s="8" t="s">
        <v>13</v>
      </c>
      <c r="H3" s="5" t="s">
        <v>10</v>
      </c>
      <c r="I3" s="8" t="s">
        <v>8</v>
      </c>
      <c r="J3" s="8" t="s">
        <v>14</v>
      </c>
      <c r="K3" s="8" t="s">
        <v>16</v>
      </c>
      <c r="L3" s="8" t="s">
        <v>17</v>
      </c>
      <c r="M3" s="8" t="s">
        <v>18</v>
      </c>
      <c r="N3" s="5" t="s">
        <v>6</v>
      </c>
      <c r="P3" s="8"/>
    </row>
    <row r="4" spans="1:16" x14ac:dyDescent="0.2">
      <c r="A4" s="2">
        <v>0.04</v>
      </c>
      <c r="B4" s="2">
        <v>-7.0000000000000007E-2</v>
      </c>
      <c r="C4" s="7">
        <f t="shared" ref="C4:C13" si="0">(1/A4)*(1/B4)</f>
        <v>-357.14285714285711</v>
      </c>
      <c r="D4" s="7">
        <v>0.05</v>
      </c>
      <c r="E4" s="12">
        <v>1.1016687023207641E-4</v>
      </c>
      <c r="F4" s="7">
        <v>2200000</v>
      </c>
      <c r="G4" s="7">
        <f>F4*E4</f>
        <v>242.36711451056811</v>
      </c>
      <c r="H4" s="2">
        <f>(F4*E4^3)/9</f>
        <v>3.268384981017504E-7</v>
      </c>
      <c r="I4" s="7">
        <v>7.1999999999999995E-2</v>
      </c>
      <c r="J4" s="7">
        <v>9800</v>
      </c>
      <c r="K4" s="7">
        <f t="shared" ref="K4:K13" si="1">ABS(G4*D4^4*(C4))/H4</f>
        <v>1655245.7149422704</v>
      </c>
      <c r="L4" s="7">
        <f>ABS(G4*C4/J4)</f>
        <v>8.8326207912014603</v>
      </c>
      <c r="M4" s="7">
        <f t="shared" ref="M4:M13" si="2">ABS((G4*(D4)^2*C4)/I4)</f>
        <v>3005.5445747838316</v>
      </c>
      <c r="N4" s="7">
        <f>(H4/J4)^(1/4)</f>
        <v>2.4031273302949248E-3</v>
      </c>
    </row>
    <row r="5" spans="1:16" x14ac:dyDescent="0.2">
      <c r="A5" s="2">
        <f>A4+0.01</f>
        <v>0.05</v>
      </c>
      <c r="B5" s="2">
        <v>-7.0000000000000007E-2</v>
      </c>
      <c r="C5" s="7">
        <f t="shared" si="0"/>
        <v>-285.71428571428567</v>
      </c>
      <c r="D5" s="7">
        <v>0.05</v>
      </c>
      <c r="E5" s="12">
        <v>1.1465429029733943E-4</v>
      </c>
      <c r="F5" s="7">
        <v>2200000</v>
      </c>
      <c r="G5" s="7">
        <f t="shared" ref="G5:G23" si="3">F5*E5</f>
        <v>252.23943865414677</v>
      </c>
      <c r="H5" s="2">
        <f t="shared" ref="H5:H13" si="4">(F5*E5^3)/9</f>
        <v>3.6842670552670047E-7</v>
      </c>
      <c r="I5" s="7">
        <v>7.1999999999999995E-2</v>
      </c>
      <c r="J5" s="7">
        <v>9800</v>
      </c>
      <c r="K5" s="7">
        <f t="shared" si="1"/>
        <v>1222570.357328831</v>
      </c>
      <c r="L5" s="7">
        <f t="shared" ref="L5:L13" si="5">ABS(G5*C5/J5)</f>
        <v>7.3539194942899915</v>
      </c>
      <c r="M5" s="7">
        <f t="shared" si="2"/>
        <v>2502.3753834736785</v>
      </c>
      <c r="N5" s="7">
        <f t="shared" ref="N5:N13" si="6">(H5/J5)^(1/4)</f>
        <v>2.4761745563285083E-3</v>
      </c>
    </row>
    <row r="6" spans="1:16" x14ac:dyDescent="0.2">
      <c r="A6" s="2">
        <f t="shared" ref="A6:A13" si="7">A5+0.01</f>
        <v>6.0000000000000005E-2</v>
      </c>
      <c r="B6" s="2">
        <v>-7.0000000000000007E-2</v>
      </c>
      <c r="C6" s="7">
        <f t="shared" si="0"/>
        <v>-238.09523809523805</v>
      </c>
      <c r="D6" s="7">
        <v>0.05</v>
      </c>
      <c r="E6" s="12">
        <v>1.18007916054809E-4</v>
      </c>
      <c r="F6" s="7">
        <v>2200000</v>
      </c>
      <c r="G6" s="7">
        <f t="shared" si="3"/>
        <v>259.61741532057982</v>
      </c>
      <c r="H6" s="2">
        <f t="shared" si="4"/>
        <v>4.017108801750017E-7</v>
      </c>
      <c r="I6" s="7">
        <v>7.1999999999999995E-2</v>
      </c>
      <c r="J6" s="7">
        <v>9800</v>
      </c>
      <c r="K6" s="7">
        <f t="shared" si="1"/>
        <v>961725.10761183547</v>
      </c>
      <c r="L6" s="7">
        <f t="shared" si="5"/>
        <v>6.3075173790228325</v>
      </c>
      <c r="M6" s="7">
        <f t="shared" si="2"/>
        <v>2146.307997028603</v>
      </c>
      <c r="N6" s="7">
        <f t="shared" si="6"/>
        <v>2.5302992089698277E-3</v>
      </c>
    </row>
    <row r="7" spans="1:16" x14ac:dyDescent="0.2">
      <c r="A7" s="2">
        <f t="shared" si="7"/>
        <v>7.0000000000000007E-2</v>
      </c>
      <c r="B7" s="2">
        <v>-7.0000000000000007E-2</v>
      </c>
      <c r="C7" s="7">
        <f t="shared" si="0"/>
        <v>-204.08163265306121</v>
      </c>
      <c r="D7" s="7">
        <v>0.05</v>
      </c>
      <c r="E7" s="12">
        <v>9.9824773458757394E-5</v>
      </c>
      <c r="F7" s="7">
        <v>2200000</v>
      </c>
      <c r="G7" s="7">
        <f t="shared" si="3"/>
        <v>219.61450160926626</v>
      </c>
      <c r="H7" s="2">
        <f t="shared" si="4"/>
        <v>2.4316170014515698E-7</v>
      </c>
      <c r="I7" s="7">
        <v>7.1999999999999995E-2</v>
      </c>
      <c r="J7" s="7">
        <v>9800</v>
      </c>
      <c r="K7" s="7">
        <f t="shared" si="1"/>
        <v>1151992.8409766075</v>
      </c>
      <c r="L7" s="7">
        <f t="shared" si="5"/>
        <v>4.5733965349701426</v>
      </c>
      <c r="M7" s="7">
        <f t="shared" si="2"/>
        <v>1556.2252098162292</v>
      </c>
      <c r="N7" s="7">
        <f t="shared" si="6"/>
        <v>2.2318616710544667E-3</v>
      </c>
    </row>
    <row r="8" spans="1:16" x14ac:dyDescent="0.2">
      <c r="A8" s="2">
        <f t="shared" si="7"/>
        <v>0.08</v>
      </c>
      <c r="B8" s="2">
        <v>-7.0000000000000007E-2</v>
      </c>
      <c r="C8" s="7">
        <f t="shared" si="0"/>
        <v>-178.57142857142856</v>
      </c>
      <c r="D8" s="7">
        <v>0.05</v>
      </c>
      <c r="E8" s="12">
        <v>1.1517853533377101E-4</v>
      </c>
      <c r="F8" s="7">
        <v>2200000</v>
      </c>
      <c r="G8" s="7">
        <f t="shared" si="3"/>
        <v>253.3927777342962</v>
      </c>
      <c r="H8" s="2">
        <f t="shared" si="4"/>
        <v>3.7350362912786464E-7</v>
      </c>
      <c r="I8" s="7">
        <v>7.1999999999999995E-2</v>
      </c>
      <c r="J8" s="7">
        <v>9800</v>
      </c>
      <c r="K8" s="7">
        <f t="shared" si="1"/>
        <v>757166.51025841502</v>
      </c>
      <c r="L8" s="7">
        <f t="shared" si="5"/>
        <v>4.6172153377240557</v>
      </c>
      <c r="M8" s="7">
        <f t="shared" si="2"/>
        <v>1571.1357746422138</v>
      </c>
      <c r="N8" s="7">
        <f t="shared" si="6"/>
        <v>2.4846612537229792E-3</v>
      </c>
    </row>
    <row r="9" spans="1:16" x14ac:dyDescent="0.2">
      <c r="A9" s="2">
        <f t="shared" si="7"/>
        <v>0.09</v>
      </c>
      <c r="B9" s="2">
        <v>-7.0000000000000007E-2</v>
      </c>
      <c r="C9" s="7">
        <f t="shared" si="0"/>
        <v>-158.73015873015871</v>
      </c>
      <c r="D9" s="7">
        <v>0.05</v>
      </c>
      <c r="E9" s="12">
        <v>1.0716850558810631E-4</v>
      </c>
      <c r="F9" s="7">
        <v>2200000</v>
      </c>
      <c r="G9" s="7">
        <f t="shared" si="3"/>
        <v>235.77071229383387</v>
      </c>
      <c r="H9" s="2">
        <f t="shared" si="4"/>
        <v>3.0087194640213872E-7</v>
      </c>
      <c r="I9" s="7">
        <v>7.1999999999999995E-2</v>
      </c>
      <c r="J9" s="7">
        <v>9800</v>
      </c>
      <c r="K9" s="7">
        <f t="shared" si="1"/>
        <v>777405.53402041981</v>
      </c>
      <c r="L9" s="7">
        <f t="shared" si="5"/>
        <v>3.8187676108492683</v>
      </c>
      <c r="M9" s="7">
        <f t="shared" si="2"/>
        <v>1299.441756469543</v>
      </c>
      <c r="N9" s="7">
        <f t="shared" si="6"/>
        <v>2.3539048567530426E-3</v>
      </c>
    </row>
    <row r="10" spans="1:16" x14ac:dyDescent="0.2">
      <c r="A10" s="2">
        <f t="shared" si="7"/>
        <v>9.9999999999999992E-2</v>
      </c>
      <c r="B10" s="2">
        <v>-7.0000000000000007E-2</v>
      </c>
      <c r="C10" s="7">
        <f t="shared" si="0"/>
        <v>-142.85714285714283</v>
      </c>
      <c r="D10" s="7">
        <v>0.05</v>
      </c>
      <c r="E10" s="12">
        <v>1.14736618634041E-4</v>
      </c>
      <c r="F10" s="7">
        <v>2200000</v>
      </c>
      <c r="G10" s="7">
        <f t="shared" si="3"/>
        <v>252.4205609948902</v>
      </c>
      <c r="H10" s="2">
        <f t="shared" si="4"/>
        <v>3.6922092987915329E-7</v>
      </c>
      <c r="I10" s="7">
        <v>7.1999999999999995E-2</v>
      </c>
      <c r="J10" s="7">
        <v>9800</v>
      </c>
      <c r="K10" s="7">
        <f t="shared" si="1"/>
        <v>610408.24788036989</v>
      </c>
      <c r="L10" s="7">
        <f t="shared" si="5"/>
        <v>3.6796000145027721</v>
      </c>
      <c r="M10" s="7">
        <f t="shared" si="2"/>
        <v>1252.0861160460822</v>
      </c>
      <c r="N10" s="7">
        <f t="shared" si="6"/>
        <v>2.4775079628655628E-3</v>
      </c>
    </row>
    <row r="11" spans="1:16" x14ac:dyDescent="0.2">
      <c r="A11" s="2">
        <f t="shared" si="7"/>
        <v>0.10999999999999999</v>
      </c>
      <c r="B11" s="2">
        <v>-7.0000000000000007E-2</v>
      </c>
      <c r="C11" s="7">
        <f t="shared" si="0"/>
        <v>-129.87012987012986</v>
      </c>
      <c r="D11" s="7">
        <v>0.05</v>
      </c>
      <c r="E11" s="12">
        <v>1.1246054767668985E-4</v>
      </c>
      <c r="F11" s="7">
        <v>2200000</v>
      </c>
      <c r="G11" s="7">
        <f t="shared" si="3"/>
        <v>247.41320488871767</v>
      </c>
      <c r="H11" s="2">
        <f t="shared" si="4"/>
        <v>3.4768083651934678E-7</v>
      </c>
      <c r="I11" s="7">
        <v>7.1999999999999995E-2</v>
      </c>
      <c r="J11" s="7">
        <v>9800</v>
      </c>
      <c r="K11" s="7">
        <f t="shared" si="1"/>
        <v>577605.62410043227</v>
      </c>
      <c r="L11" s="7">
        <f t="shared" si="5"/>
        <v>3.2787331684166134</v>
      </c>
      <c r="M11" s="7">
        <f t="shared" si="2"/>
        <v>1115.6800364750982</v>
      </c>
      <c r="N11" s="7">
        <f t="shared" si="6"/>
        <v>2.4405553947633696E-3</v>
      </c>
    </row>
    <row r="12" spans="1:16" x14ac:dyDescent="0.2">
      <c r="A12" s="2">
        <f t="shared" si="7"/>
        <v>0.11999999999999998</v>
      </c>
      <c r="B12" s="2">
        <v>-7.0000000000000007E-2</v>
      </c>
      <c r="C12" s="7">
        <f t="shared" si="0"/>
        <v>-119.04761904761905</v>
      </c>
      <c r="D12" s="7">
        <v>0.05</v>
      </c>
      <c r="E12" s="12">
        <v>1.0886381434916264E-4</v>
      </c>
      <c r="F12" s="7">
        <v>2200000</v>
      </c>
      <c r="G12" s="7">
        <f t="shared" si="3"/>
        <v>239.5003915681578</v>
      </c>
      <c r="H12" s="2">
        <f t="shared" si="4"/>
        <v>3.1537757705354535E-7</v>
      </c>
      <c r="I12" s="7">
        <v>7.1999999999999995E-2</v>
      </c>
      <c r="J12" s="7">
        <v>9800</v>
      </c>
      <c r="K12" s="7">
        <f t="shared" si="1"/>
        <v>565036.03639838123</v>
      </c>
      <c r="L12" s="7">
        <f t="shared" si="5"/>
        <v>2.9093827935879228</v>
      </c>
      <c r="M12" s="7">
        <f t="shared" si="2"/>
        <v>989.99831170700179</v>
      </c>
      <c r="N12" s="7">
        <f t="shared" si="6"/>
        <v>2.3817774773524287E-3</v>
      </c>
    </row>
    <row r="13" spans="1:16" x14ac:dyDescent="0.2">
      <c r="A13" s="2">
        <f t="shared" si="7"/>
        <v>0.12999999999999998</v>
      </c>
      <c r="B13" s="2">
        <v>-7.0000000000000007E-2</v>
      </c>
      <c r="C13" s="7">
        <f t="shared" si="0"/>
        <v>-109.8901098901099</v>
      </c>
      <c r="D13" s="7">
        <v>0.05</v>
      </c>
      <c r="E13" s="12">
        <v>1.1555913313106452E-4</v>
      </c>
      <c r="F13" s="7">
        <v>2200000</v>
      </c>
      <c r="G13" s="7">
        <f t="shared" si="3"/>
        <v>254.23009288834194</v>
      </c>
      <c r="H13" s="2">
        <f t="shared" si="4"/>
        <v>3.7721851177457186E-7</v>
      </c>
      <c r="I13" s="7">
        <v>7.1999999999999995E-2</v>
      </c>
      <c r="J13" s="7">
        <v>9800</v>
      </c>
      <c r="K13" s="7">
        <f t="shared" si="1"/>
        <v>462884.44185581728</v>
      </c>
      <c r="L13" s="7">
        <f t="shared" si="5"/>
        <v>2.8507523311094634</v>
      </c>
      <c r="M13" s="7">
        <f t="shared" si="2"/>
        <v>970.04766822474835</v>
      </c>
      <c r="N13" s="7">
        <f t="shared" si="6"/>
        <v>2.4908164795788617E-3</v>
      </c>
    </row>
    <row r="14" spans="1:16" x14ac:dyDescent="0.2">
      <c r="A14" s="2"/>
      <c r="B14" s="2"/>
      <c r="C14" s="7"/>
      <c r="D14" s="7"/>
      <c r="E14" s="12"/>
      <c r="F14" s="7"/>
      <c r="G14" s="7"/>
      <c r="H14" s="2"/>
      <c r="I14" s="7"/>
      <c r="J14" s="7"/>
      <c r="K14" s="7"/>
      <c r="L14" s="7"/>
      <c r="M14" s="7"/>
      <c r="N14" s="2"/>
    </row>
    <row r="15" spans="1:16" x14ac:dyDescent="0.2">
      <c r="A15" s="2"/>
      <c r="B15" s="2"/>
      <c r="C15" s="7"/>
      <c r="D15" s="7"/>
      <c r="E15" s="12"/>
      <c r="F15" s="7"/>
      <c r="G15" s="7"/>
      <c r="H15" s="2"/>
      <c r="I15" s="7"/>
      <c r="J15" s="7"/>
      <c r="K15" s="7"/>
      <c r="L15" s="7"/>
      <c r="M15" s="7"/>
      <c r="N15" s="2"/>
    </row>
    <row r="16" spans="1:16" x14ac:dyDescent="0.2">
      <c r="A16" s="4" t="s">
        <v>1</v>
      </c>
      <c r="B16" s="2"/>
      <c r="C16" s="7"/>
      <c r="D16" s="7"/>
      <c r="E16" s="12"/>
      <c r="F16" s="7"/>
      <c r="G16" s="7"/>
      <c r="H16" s="2"/>
      <c r="I16" s="7"/>
      <c r="J16" s="7"/>
      <c r="K16" s="7"/>
      <c r="L16" s="7"/>
      <c r="M16" s="7"/>
      <c r="N16" s="2"/>
    </row>
    <row r="17" spans="1:14" x14ac:dyDescent="0.2">
      <c r="A17" s="2"/>
      <c r="B17" s="2"/>
      <c r="C17" s="7"/>
      <c r="D17" s="7"/>
      <c r="E17" s="12"/>
      <c r="F17" s="7"/>
      <c r="G17" s="7"/>
      <c r="H17" s="2"/>
      <c r="I17" s="7"/>
      <c r="J17" s="7"/>
      <c r="K17" s="7"/>
      <c r="L17" s="7"/>
      <c r="M17" s="7"/>
      <c r="N17" s="2"/>
    </row>
    <row r="18" spans="1:14" s="3" customFormat="1" ht="43.25" customHeight="1" x14ac:dyDescent="0.2">
      <c r="A18" s="3" t="s">
        <v>3</v>
      </c>
      <c r="B18" s="3" t="s">
        <v>4</v>
      </c>
      <c r="C18" s="8" t="s">
        <v>11</v>
      </c>
      <c r="D18" s="9" t="s">
        <v>2</v>
      </c>
      <c r="E18" s="13" t="s">
        <v>5</v>
      </c>
      <c r="F18" s="8" t="s">
        <v>12</v>
      </c>
      <c r="G18" s="8" t="s">
        <v>13</v>
      </c>
      <c r="H18" s="5" t="s">
        <v>10</v>
      </c>
      <c r="I18" s="8" t="s">
        <v>8</v>
      </c>
      <c r="J18" s="8" t="s">
        <v>14</v>
      </c>
      <c r="K18" s="8" t="s">
        <v>7</v>
      </c>
      <c r="L18" s="8" t="s">
        <v>9</v>
      </c>
      <c r="M18" s="8" t="s">
        <v>15</v>
      </c>
      <c r="N18" s="5" t="s">
        <v>6</v>
      </c>
    </row>
    <row r="19" spans="1:14" x14ac:dyDescent="0.2">
      <c r="A19" s="2">
        <v>0.03</v>
      </c>
      <c r="B19" s="2">
        <v>0.03</v>
      </c>
      <c r="C19" s="7">
        <f>(1/A19)*(1/B19)</f>
        <v>1111.1111111111113</v>
      </c>
      <c r="D19" s="7">
        <v>0.05</v>
      </c>
      <c r="E19" s="12">
        <v>1.1007884608391599E-4</v>
      </c>
      <c r="F19" s="7">
        <v>2200000</v>
      </c>
      <c r="G19" s="7">
        <f t="shared" si="3"/>
        <v>242.17346138461519</v>
      </c>
      <c r="H19" s="2">
        <f>(F19*E19^3)/9</f>
        <v>3.2605568474085367E-7</v>
      </c>
      <c r="I19" s="7">
        <v>7.1999999999999995E-2</v>
      </c>
      <c r="J19" s="7">
        <v>9800</v>
      </c>
      <c r="K19" s="7">
        <f t="shared" ref="K19:K23" si="8">ABS(G19*D19^4*(C19))/H19</f>
        <v>5157892.4312910605</v>
      </c>
      <c r="L19" s="7">
        <f t="shared" ref="L19:L23" si="9">ABS(G19*C19/J19)</f>
        <v>27.457308547008527</v>
      </c>
      <c r="M19" s="7">
        <f>ABS((G19*(D19)^2*C19)/I19)</f>
        <v>9343.1119361348501</v>
      </c>
      <c r="N19" s="7">
        <f t="shared" ref="N19:N23" si="10">(H19/J19)^(1/4)</f>
        <v>2.4016870989678487E-3</v>
      </c>
    </row>
    <row r="20" spans="1:14" x14ac:dyDescent="0.2">
      <c r="A20" s="2">
        <f>A19+0.01</f>
        <v>0.04</v>
      </c>
      <c r="B20" s="2">
        <f>B19+0.01</f>
        <v>0.04</v>
      </c>
      <c r="C20" s="7">
        <f t="shared" ref="C20:C23" si="11">(1/A20)*(1/B20)</f>
        <v>625</v>
      </c>
      <c r="D20" s="7">
        <v>0.05</v>
      </c>
      <c r="E20" s="12">
        <v>1.0449499053146853E-4</v>
      </c>
      <c r="F20" s="7">
        <v>2200000</v>
      </c>
      <c r="G20" s="7">
        <f t="shared" si="3"/>
        <v>229.88897916923077</v>
      </c>
      <c r="H20" s="2">
        <f>(F20*E20^3)/9</f>
        <v>2.7891160462510735E-7</v>
      </c>
      <c r="I20" s="7">
        <v>7.1999999999999995E-2</v>
      </c>
      <c r="J20" s="7">
        <v>9800</v>
      </c>
      <c r="K20" s="7">
        <f t="shared" si="8"/>
        <v>3219671.7884393497</v>
      </c>
      <c r="L20" s="7">
        <f t="shared" si="9"/>
        <v>14.661286936813188</v>
      </c>
      <c r="M20" s="7">
        <f>ABS((G20*(D20)^2*C20)/I20)</f>
        <v>4988.9101382211547</v>
      </c>
      <c r="N20" s="7">
        <f t="shared" si="10"/>
        <v>2.3097242131527264E-3</v>
      </c>
    </row>
    <row r="21" spans="1:14" x14ac:dyDescent="0.2">
      <c r="A21" s="2">
        <f t="shared" ref="A21:B23" si="12">A20+0.01</f>
        <v>0.05</v>
      </c>
      <c r="B21" s="2">
        <f t="shared" si="12"/>
        <v>0.05</v>
      </c>
      <c r="C21" s="7">
        <f t="shared" si="11"/>
        <v>400</v>
      </c>
      <c r="D21" s="7">
        <v>0.05</v>
      </c>
      <c r="E21" s="12">
        <v>1.17395471230769E-4</v>
      </c>
      <c r="F21" s="7">
        <v>2200000</v>
      </c>
      <c r="G21" s="7">
        <f t="shared" si="3"/>
        <v>258.27003670769182</v>
      </c>
      <c r="H21" s="2">
        <f>(F21*E21^3)/9</f>
        <v>3.954888115212766E-7</v>
      </c>
      <c r="I21" s="7">
        <v>7.1999999999999995E-2</v>
      </c>
      <c r="J21" s="7">
        <v>9800</v>
      </c>
      <c r="K21" s="7">
        <f t="shared" si="8"/>
        <v>1632600.1468552132</v>
      </c>
      <c r="L21" s="7">
        <f t="shared" si="9"/>
        <v>10.54163415133436</v>
      </c>
      <c r="M21" s="7">
        <f>ABS((G21*(D21)^2*C21)/I21)</f>
        <v>3587.0838431623874</v>
      </c>
      <c r="N21" s="7">
        <f t="shared" si="10"/>
        <v>2.5204438776063962E-3</v>
      </c>
    </row>
    <row r="22" spans="1:14" x14ac:dyDescent="0.2">
      <c r="A22" s="2">
        <f t="shared" si="12"/>
        <v>6.0000000000000005E-2</v>
      </c>
      <c r="B22" s="2">
        <f t="shared" si="12"/>
        <v>6.0000000000000005E-2</v>
      </c>
      <c r="C22" s="7">
        <f t="shared" si="11"/>
        <v>277.77777777777771</v>
      </c>
      <c r="D22" s="7">
        <v>0.05</v>
      </c>
      <c r="E22" s="12">
        <v>1.05514004867133E-4</v>
      </c>
      <c r="F22" s="7">
        <v>2200000</v>
      </c>
      <c r="G22" s="7">
        <f t="shared" si="3"/>
        <v>232.1308107076926</v>
      </c>
      <c r="H22" s="2">
        <f>(F22*E22^3)/9</f>
        <v>2.8715110602373753E-7</v>
      </c>
      <c r="I22" s="7">
        <v>7.1999999999999995E-2</v>
      </c>
      <c r="J22" s="7">
        <v>9800</v>
      </c>
      <c r="K22" s="7">
        <f t="shared" si="8"/>
        <v>1403459.2632477644</v>
      </c>
      <c r="L22" s="7">
        <f t="shared" si="9"/>
        <v>6.5796715053200838</v>
      </c>
      <c r="M22" s="7">
        <f>ABS((G22*(D22)^2*C22)/I22)</f>
        <v>2238.9159983380846</v>
      </c>
      <c r="N22" s="7">
        <f t="shared" si="10"/>
        <v>2.3265966821267455E-3</v>
      </c>
    </row>
    <row r="23" spans="1:14" x14ac:dyDescent="0.2">
      <c r="A23" s="2">
        <f t="shared" si="12"/>
        <v>7.0000000000000007E-2</v>
      </c>
      <c r="B23" s="2">
        <f t="shared" si="12"/>
        <v>7.0000000000000007E-2</v>
      </c>
      <c r="C23" s="7">
        <f t="shared" si="11"/>
        <v>204.08163265306121</v>
      </c>
      <c r="D23" s="7">
        <v>0.05</v>
      </c>
      <c r="E23" s="12">
        <v>1.02901450783217E-4</v>
      </c>
      <c r="F23" s="7">
        <v>2200000</v>
      </c>
      <c r="G23" s="7">
        <f t="shared" si="3"/>
        <v>226.3831917230774</v>
      </c>
      <c r="H23" s="2">
        <f>(F23*E23^3)/9</f>
        <v>2.6634507144967683E-7</v>
      </c>
      <c r="I23" s="7">
        <v>7.1999999999999995E-2</v>
      </c>
      <c r="J23" s="7">
        <v>9800</v>
      </c>
      <c r="K23" s="7">
        <f t="shared" si="8"/>
        <v>1084135.2141554873</v>
      </c>
      <c r="L23" s="7">
        <f t="shared" si="9"/>
        <v>4.7143521808221029</v>
      </c>
      <c r="M23" s="7">
        <f>ABS((G23*(D23)^2*C23)/I23)</f>
        <v>1604.1892837519661</v>
      </c>
      <c r="N23" s="7">
        <f t="shared" si="10"/>
        <v>2.2832562088041701E-3</v>
      </c>
    </row>
    <row r="24" spans="1:14" x14ac:dyDescent="0.2">
      <c r="A24" s="2"/>
      <c r="B24" s="2"/>
      <c r="C24" s="7"/>
      <c r="D24" s="7"/>
      <c r="E24" s="12"/>
      <c r="F24" s="7"/>
      <c r="G24" s="7"/>
      <c r="H24" s="2"/>
      <c r="I24" s="7"/>
      <c r="J24" s="7"/>
      <c r="K24" s="7"/>
      <c r="L24" s="7"/>
      <c r="M24" s="7"/>
      <c r="N24" s="2"/>
    </row>
    <row r="25" spans="1:14" x14ac:dyDescent="0.2">
      <c r="A25" s="2"/>
      <c r="B25" s="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2">
      <c r="A26" s="2"/>
      <c r="B26" s="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2">
      <c r="A27" s="2"/>
      <c r="B27" s="2"/>
      <c r="C27" s="7"/>
      <c r="D27" s="7"/>
      <c r="E27" s="12"/>
      <c r="F27" s="7"/>
      <c r="G27" s="7"/>
      <c r="H27" s="2"/>
      <c r="I27" s="7"/>
      <c r="J27" s="7"/>
      <c r="K27" s="7"/>
      <c r="L27" s="7"/>
      <c r="M27" s="7"/>
      <c r="N27" s="7"/>
    </row>
    <row r="28" spans="1:14" x14ac:dyDescent="0.2">
      <c r="A28" s="2"/>
      <c r="B28" s="2"/>
      <c r="C28" s="7"/>
      <c r="D28" s="7"/>
      <c r="E28" s="12"/>
      <c r="F28" s="7"/>
      <c r="G28" s="7"/>
      <c r="H28" s="2"/>
      <c r="I28" s="7"/>
      <c r="J28" s="7"/>
      <c r="K28" s="7"/>
      <c r="L28" s="7"/>
      <c r="M28" s="7"/>
      <c r="N28" s="2"/>
    </row>
    <row r="29" spans="1:14" x14ac:dyDescent="0.2">
      <c r="A29" s="2"/>
      <c r="B29" s="2"/>
      <c r="C29" s="7"/>
      <c r="D29" s="7"/>
      <c r="E29" s="12"/>
      <c r="F29" s="7"/>
      <c r="G29" s="7"/>
      <c r="H29" s="2"/>
      <c r="I29" s="7"/>
      <c r="J29" s="7"/>
      <c r="K29" s="7"/>
      <c r="L29" s="7"/>
      <c r="M29" s="7"/>
      <c r="N29" s="2"/>
    </row>
    <row r="30" spans="1:14" x14ac:dyDescent="0.2">
      <c r="A30" s="2"/>
      <c r="B30" s="2"/>
      <c r="C30" s="7"/>
      <c r="D30" s="7"/>
      <c r="E30" s="12"/>
      <c r="F30" s="7"/>
      <c r="G30" s="7"/>
      <c r="H30" s="2"/>
      <c r="I30" s="7"/>
      <c r="J30" s="7"/>
      <c r="K30" s="7"/>
      <c r="L30" s="7"/>
      <c r="M30" s="7"/>
      <c r="N30" s="2"/>
    </row>
    <row r="31" spans="1:14" x14ac:dyDescent="0.2">
      <c r="A31" s="2"/>
      <c r="B31" s="2"/>
      <c r="C31" s="7"/>
      <c r="D31" s="7"/>
      <c r="E31" s="12"/>
      <c r="F31" s="7"/>
      <c r="G31" s="7"/>
      <c r="H31" s="2"/>
      <c r="I31" s="7"/>
      <c r="J31" s="7"/>
      <c r="K31" s="7"/>
      <c r="L31" s="7"/>
      <c r="M31" s="7"/>
      <c r="N31" s="2"/>
    </row>
    <row r="32" spans="1:14" x14ac:dyDescent="0.2">
      <c r="A32" s="2"/>
      <c r="B32" s="2"/>
      <c r="C32" s="7"/>
      <c r="D32" s="7"/>
      <c r="E32" s="12"/>
      <c r="F32" s="7"/>
      <c r="G32" s="7"/>
      <c r="H32" s="2"/>
      <c r="I32" s="7"/>
      <c r="J32" s="7"/>
      <c r="K32" s="7"/>
      <c r="L32" s="7"/>
      <c r="M32" s="7"/>
      <c r="N32" s="2"/>
    </row>
    <row r="33" spans="1:14" x14ac:dyDescent="0.2">
      <c r="A33" s="2"/>
      <c r="B33" s="2"/>
      <c r="C33" s="7"/>
      <c r="D33" s="7"/>
      <c r="E33" s="12"/>
      <c r="F33" s="7"/>
      <c r="G33" s="7"/>
      <c r="H33" s="2"/>
      <c r="I33" s="7"/>
      <c r="J33" s="7"/>
      <c r="K33" s="7"/>
      <c r="L33" s="7"/>
      <c r="M33" s="7"/>
      <c r="N33" s="2"/>
    </row>
    <row r="34" spans="1:14" x14ac:dyDescent="0.2">
      <c r="A34" s="2"/>
      <c r="B34" s="2"/>
      <c r="C34" s="7"/>
      <c r="D34" s="7"/>
      <c r="E34" s="12"/>
      <c r="F34" s="7"/>
      <c r="G34" s="7"/>
      <c r="H34" s="2"/>
      <c r="I34" s="7"/>
      <c r="J34" s="7"/>
      <c r="K34" s="7"/>
      <c r="L34" s="7"/>
      <c r="M34" s="7"/>
      <c r="N34" s="2"/>
    </row>
    <row r="35" spans="1:14" x14ac:dyDescent="0.2">
      <c r="A35" s="2"/>
      <c r="B35" s="2"/>
      <c r="C35" s="7"/>
      <c r="D35" s="7"/>
      <c r="E35" s="12"/>
      <c r="F35" s="7"/>
      <c r="G35" s="7"/>
      <c r="H35" s="2"/>
      <c r="I35" s="7"/>
      <c r="J35" s="7"/>
      <c r="K35" s="7"/>
      <c r="L35" s="7"/>
      <c r="M35" s="7"/>
      <c r="N35" s="2"/>
    </row>
    <row r="36" spans="1:14" x14ac:dyDescent="0.2">
      <c r="A36" s="2"/>
      <c r="B36" s="2"/>
      <c r="C36" s="7"/>
      <c r="D36" s="7"/>
      <c r="E36" s="12"/>
      <c r="F36" s="7"/>
      <c r="G36" s="7"/>
      <c r="H36" s="2"/>
      <c r="I36" s="7"/>
      <c r="J36" s="7"/>
      <c r="K36" s="7"/>
      <c r="L36" s="7"/>
      <c r="M36" s="7"/>
      <c r="N36" s="2"/>
    </row>
    <row r="37" spans="1:14" x14ac:dyDescent="0.2">
      <c r="A37" s="2"/>
      <c r="B37" s="2"/>
      <c r="C37" s="7"/>
      <c r="D37" s="7"/>
      <c r="E37" s="12"/>
      <c r="F37" s="7"/>
      <c r="G37" s="7"/>
      <c r="H37" s="2"/>
      <c r="I37" s="7"/>
      <c r="J37" s="7"/>
      <c r="K37" s="7"/>
      <c r="L37" s="7"/>
      <c r="M37" s="7"/>
      <c r="N37" s="2"/>
    </row>
    <row r="38" spans="1:14" x14ac:dyDescent="0.2">
      <c r="A38" s="2"/>
      <c r="B38" s="2"/>
      <c r="C38" s="7"/>
      <c r="D38" s="7"/>
      <c r="E38" s="12"/>
      <c r="F38" s="7"/>
      <c r="G38" s="7"/>
      <c r="H38" s="2"/>
      <c r="I38" s="7"/>
      <c r="J38" s="7"/>
      <c r="K38" s="7"/>
      <c r="L38" s="7"/>
      <c r="M38" s="7"/>
      <c r="N38" s="2"/>
    </row>
    <row r="39" spans="1:14" x14ac:dyDescent="0.2">
      <c r="A39" s="2"/>
      <c r="B39" s="2"/>
      <c r="C39" s="7"/>
      <c r="D39" s="7"/>
      <c r="E39" s="12"/>
      <c r="F39" s="7"/>
      <c r="G39" s="7"/>
      <c r="H39" s="2"/>
      <c r="I39" s="7"/>
      <c r="J39" s="7"/>
      <c r="K39" s="7"/>
      <c r="L39" s="7"/>
      <c r="M39" s="7"/>
      <c r="N39" s="2"/>
    </row>
    <row r="40" spans="1:14" x14ac:dyDescent="0.2">
      <c r="A40" s="2"/>
      <c r="B40" s="2"/>
      <c r="C40" s="7"/>
      <c r="D40" s="7"/>
      <c r="E40" s="12"/>
      <c r="F40" s="7"/>
      <c r="G40" s="7"/>
      <c r="H40" s="2"/>
      <c r="I40" s="7"/>
      <c r="J40" s="7"/>
      <c r="K40" s="7"/>
      <c r="L40" s="7"/>
      <c r="M40" s="7"/>
      <c r="N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GOEHRING, LUCAS</cp:lastModifiedBy>
  <cp:revision/>
  <dcterms:created xsi:type="dcterms:W3CDTF">2024-10-12T09:24:41Z</dcterms:created>
  <dcterms:modified xsi:type="dcterms:W3CDTF">2024-11-03T14:47:06Z</dcterms:modified>
  <cp:category/>
  <cp:contentStatus/>
</cp:coreProperties>
</file>