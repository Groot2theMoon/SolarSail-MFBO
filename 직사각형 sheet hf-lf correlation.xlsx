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dongdong0615_postech_ac_kr/Documents/바탕 화면/본인/POSTECH/3학년/연구참여/"/>
    </mc:Choice>
  </mc:AlternateContent>
  <xr:revisionPtr revIDLastSave="0" documentId="8_{1E23EBE5-6A87-4F86-8D5D-930C34BF85A0}" xr6:coauthVersionLast="47" xr6:coauthVersionMax="47" xr10:uidLastSave="{00000000-0000-0000-0000-000000000000}"/>
  <bookViews>
    <workbookView xWindow="3480" yWindow="1920" windowWidth="21600" windowHeight="11835" activeTab="1" xr2:uid="{4C78983C-ACE2-4E7F-8775-9A845C8F15EE}"/>
  </bookViews>
  <sheets>
    <sheet name="Chart1" sheetId="2" r:id="rId1"/>
    <sheet name="Sheet1" sheetId="1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K24" i="1"/>
  <c r="J24" i="1"/>
  <c r="BG5" i="1"/>
  <c r="BH5" i="1"/>
  <c r="BB22" i="1"/>
  <c r="AB26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C22" i="1"/>
  <c r="BD22" i="1"/>
  <c r="BE22" i="1"/>
  <c r="BF22" i="1"/>
  <c r="BG22" i="1"/>
  <c r="BH22" i="1"/>
  <c r="BI22" i="1"/>
  <c r="BJ22" i="1"/>
  <c r="BK22" i="1"/>
  <c r="BL22" i="1"/>
  <c r="BM22" i="1"/>
  <c r="B22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B17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11" i="1"/>
  <c r="C5" i="1"/>
  <c r="D5" i="1"/>
  <c r="E5" i="1"/>
  <c r="F5" i="1"/>
  <c r="G5" i="1"/>
  <c r="H5" i="1"/>
  <c r="I5" i="1"/>
  <c r="K5" i="1"/>
  <c r="L5" i="1"/>
  <c r="M5" i="1"/>
  <c r="N5" i="1"/>
  <c r="O5" i="1"/>
  <c r="P5" i="1"/>
  <c r="Q5" i="1"/>
  <c r="T5" i="1"/>
  <c r="U5" i="1"/>
  <c r="V5" i="1"/>
  <c r="W5" i="1"/>
  <c r="X5" i="1"/>
  <c r="Y5" i="1"/>
  <c r="AB5" i="1"/>
  <c r="AC5" i="1"/>
  <c r="AD5" i="1"/>
  <c r="AE5" i="1"/>
  <c r="AF5" i="1"/>
  <c r="AG5" i="1"/>
  <c r="AJ5" i="1"/>
  <c r="AK5" i="1"/>
  <c r="AL5" i="1"/>
  <c r="AM5" i="1"/>
  <c r="AN5" i="1"/>
  <c r="AO5" i="1"/>
  <c r="AR5" i="1"/>
  <c r="AS5" i="1"/>
  <c r="AT5" i="1"/>
  <c r="AU5" i="1"/>
  <c r="AV5" i="1"/>
  <c r="AW5" i="1"/>
  <c r="B5" i="1"/>
  <c r="K25" i="1"/>
  <c r="J25" i="1"/>
  <c r="I25" i="1"/>
  <c r="F6" i="1" l="1"/>
  <c r="B6" i="1"/>
  <c r="AZ6" i="1"/>
  <c r="AP6" i="1"/>
  <c r="Z6" i="1"/>
  <c r="BD6" i="1"/>
  <c r="AN6" i="1"/>
  <c r="X6" i="1"/>
  <c r="H6" i="1"/>
  <c r="BC6" i="1"/>
  <c r="AE6" i="1"/>
  <c r="O6" i="1"/>
  <c r="BJ6" i="1"/>
  <c r="AT6" i="1"/>
  <c r="AL6" i="1"/>
  <c r="AD6" i="1"/>
  <c r="V6" i="1"/>
  <c r="N6" i="1"/>
  <c r="BI6" i="1"/>
  <c r="BA6" i="1"/>
  <c r="AS6" i="1"/>
  <c r="AK6" i="1"/>
  <c r="AC6" i="1"/>
  <c r="U6" i="1"/>
  <c r="M6" i="1"/>
  <c r="BH6" i="1"/>
  <c r="AR6" i="1"/>
  <c r="AJ6" i="1"/>
  <c r="AB6" i="1"/>
  <c r="T6" i="1"/>
  <c r="L6" i="1"/>
  <c r="D6" i="1"/>
  <c r="BG6" i="1"/>
  <c r="AY6" i="1"/>
  <c r="AQ6" i="1"/>
  <c r="AI6" i="1"/>
  <c r="AA6" i="1"/>
  <c r="S6" i="1"/>
  <c r="K6" i="1"/>
  <c r="C6" i="1"/>
  <c r="J6" i="1"/>
  <c r="AX6" i="1"/>
  <c r="R6" i="1"/>
  <c r="BM6" i="1"/>
  <c r="BE6" i="1"/>
  <c r="AW6" i="1"/>
  <c r="AO6" i="1"/>
  <c r="AG6" i="1"/>
  <c r="Y6" i="1"/>
  <c r="Q6" i="1"/>
  <c r="I6" i="1"/>
  <c r="BF6" i="1"/>
  <c r="AH6" i="1"/>
  <c r="BL6" i="1"/>
  <c r="AV6" i="1"/>
  <c r="AF6" i="1"/>
  <c r="P6" i="1"/>
  <c r="BK6" i="1"/>
  <c r="AM6" i="1"/>
  <c r="G6" i="1"/>
  <c r="BB6" i="1"/>
  <c r="E6" i="1"/>
  <c r="AU6" i="1"/>
  <c r="W6" i="1"/>
  <c r="AC26" i="1"/>
  <c r="AC27" i="1"/>
  <c r="AA25" i="1" l="1"/>
  <c r="AB25" i="1"/>
  <c r="AC25" i="1"/>
</calcChain>
</file>

<file path=xl/sharedStrings.xml><?xml version="1.0" encoding="utf-8"?>
<sst xmlns="http://schemas.openxmlformats.org/spreadsheetml/2006/main" count="27" uniqueCount="14">
  <si>
    <t>HF</t>
    <phoneticPr fontId="1" type="noConversion"/>
  </si>
  <si>
    <t>LF1</t>
    <phoneticPr fontId="1" type="noConversion"/>
  </si>
  <si>
    <t>LF2</t>
    <phoneticPr fontId="1" type="noConversion"/>
  </si>
  <si>
    <t>LF3</t>
    <phoneticPr fontId="1" type="noConversion"/>
  </si>
  <si>
    <t>x1</t>
    <phoneticPr fontId="1" type="noConversion"/>
  </si>
  <si>
    <t>x2</t>
    <phoneticPr fontId="1" type="noConversion"/>
  </si>
  <si>
    <t>R2</t>
    <phoneticPr fontId="1" type="noConversion"/>
  </si>
  <si>
    <t>Pearson</t>
    <phoneticPr fontId="1" type="noConversion"/>
  </si>
  <si>
    <t>lf1</t>
    <phoneticPr fontId="1" type="noConversion"/>
  </si>
  <si>
    <t>lf2</t>
    <phoneticPr fontId="1" type="noConversion"/>
  </si>
  <si>
    <t>lf3</t>
    <phoneticPr fontId="1" type="noConversion"/>
  </si>
  <si>
    <t>hf</t>
    <phoneticPr fontId="1" type="noConversion"/>
  </si>
  <si>
    <t>vs hf</t>
    <phoneticPr fontId="1" type="noConversion"/>
  </si>
  <si>
    <t>spearman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</si>
</sst>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63A3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199944"/>
        <c:axId val="632199224"/>
      </c:barChart>
      <c:catAx>
        <c:axId val="632199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199224"/>
        <c:crosses val="autoZero"/>
        <c:auto val="1"/>
        <c:lblAlgn val="ctr"/>
        <c:lblOffset val="100"/>
        <c:noMultiLvlLbl val="0"/>
      </c:catAx>
      <c:valAx>
        <c:axId val="63219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1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6041197023044"/>
          <c:y val="4.2281719275283992E-2"/>
          <c:w val="0.79513214778147401"/>
          <c:h val="0.829076405891758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LF3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1653287240243534E-2"/>
                  <c:y val="-0.125277749711221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Sheet1!$B$21:$BB$21</c:f>
              <c:numCache>
                <c:formatCode>0.00E+00</c:formatCode>
                <c:ptCount val="53"/>
                <c:pt idx="0">
                  <c:v>0.12077</c:v>
                </c:pt>
                <c:pt idx="1">
                  <c:v>0.12077010000000001</c:v>
                </c:pt>
                <c:pt idx="2">
                  <c:v>0.12077019999999999</c:v>
                </c:pt>
                <c:pt idx="3">
                  <c:v>0.1207703</c:v>
                </c:pt>
                <c:pt idx="4">
                  <c:v>0.1207705</c:v>
                </c:pt>
                <c:pt idx="5">
                  <c:v>0.12077069999999999</c:v>
                </c:pt>
                <c:pt idx="6">
                  <c:v>0.1207709</c:v>
                </c:pt>
                <c:pt idx="7">
                  <c:v>0.12077110000000001</c:v>
                </c:pt>
                <c:pt idx="8">
                  <c:v>0.1206193</c:v>
                </c:pt>
                <c:pt idx="9">
                  <c:v>0.1206194</c:v>
                </c:pt>
                <c:pt idx="10">
                  <c:v>0.1206195</c:v>
                </c:pt>
                <c:pt idx="11">
                  <c:v>0.1206197</c:v>
                </c:pt>
                <c:pt idx="12">
                  <c:v>0.1206198</c:v>
                </c:pt>
                <c:pt idx="13">
                  <c:v>0.12062</c:v>
                </c:pt>
                <c:pt idx="14">
                  <c:v>0.1206203</c:v>
                </c:pt>
                <c:pt idx="15">
                  <c:v>0.12062050000000001</c:v>
                </c:pt>
                <c:pt idx="16">
                  <c:v>0.12009069999999999</c:v>
                </c:pt>
                <c:pt idx="17">
                  <c:v>0.1200908</c:v>
                </c:pt>
                <c:pt idx="18">
                  <c:v>0.1200909</c:v>
                </c:pt>
                <c:pt idx="19">
                  <c:v>0.120091</c:v>
                </c:pt>
                <c:pt idx="20">
                  <c:v>0.1200912</c:v>
                </c:pt>
                <c:pt idx="21">
                  <c:v>0.1201055</c:v>
                </c:pt>
                <c:pt idx="22">
                  <c:v>0.1201058</c:v>
                </c:pt>
                <c:pt idx="23">
                  <c:v>0.120106</c:v>
                </c:pt>
                <c:pt idx="24">
                  <c:v>0.1191928</c:v>
                </c:pt>
                <c:pt idx="25">
                  <c:v>0.1191929</c:v>
                </c:pt>
                <c:pt idx="26">
                  <c:v>0.11919299999999999</c:v>
                </c:pt>
                <c:pt idx="27">
                  <c:v>0.1191932</c:v>
                </c:pt>
                <c:pt idx="28">
                  <c:v>0.1191933</c:v>
                </c:pt>
                <c:pt idx="29">
                  <c:v>0.11919349999999999</c:v>
                </c:pt>
                <c:pt idx="30">
                  <c:v>0.1191937</c:v>
                </c:pt>
                <c:pt idx="31">
                  <c:v>0.11919399999999999</c:v>
                </c:pt>
                <c:pt idx="32">
                  <c:v>0.1188873</c:v>
                </c:pt>
                <c:pt idx="33">
                  <c:v>0.1188874</c:v>
                </c:pt>
                <c:pt idx="34">
                  <c:v>0.11888749999999999</c:v>
                </c:pt>
                <c:pt idx="35">
                  <c:v>0.1188876</c:v>
                </c:pt>
                <c:pt idx="36">
                  <c:v>0.1188878</c:v>
                </c:pt>
                <c:pt idx="37">
                  <c:v>0.11888799999999999</c:v>
                </c:pt>
                <c:pt idx="38">
                  <c:v>0.1188882</c:v>
                </c:pt>
                <c:pt idx="39">
                  <c:v>0.11888849999999999</c:v>
                </c:pt>
                <c:pt idx="40">
                  <c:v>0.119299</c:v>
                </c:pt>
                <c:pt idx="41">
                  <c:v>0.1192125</c:v>
                </c:pt>
                <c:pt idx="42">
                  <c:v>0.1192126</c:v>
                </c:pt>
                <c:pt idx="43">
                  <c:v>0.11924029999999999</c:v>
                </c:pt>
                <c:pt idx="44">
                  <c:v>0.1192405</c:v>
                </c:pt>
                <c:pt idx="45">
                  <c:v>0.11924070000000001</c:v>
                </c:pt>
                <c:pt idx="46">
                  <c:v>0.1192409</c:v>
                </c:pt>
                <c:pt idx="47">
                  <c:v>0.11924120000000001</c:v>
                </c:pt>
                <c:pt idx="48">
                  <c:v>0.11922140000000001</c:v>
                </c:pt>
                <c:pt idx="49">
                  <c:v>0.1191334</c:v>
                </c:pt>
                <c:pt idx="50">
                  <c:v>0.1191335</c:v>
                </c:pt>
                <c:pt idx="51">
                  <c:v>0.11913360000000001</c:v>
                </c:pt>
                <c:pt idx="52">
                  <c:v>0.1191338</c:v>
                </c:pt>
              </c:numCache>
            </c:numRef>
          </c:xVal>
          <c:yVal>
            <c:numRef>
              <c:f>Sheet1!$5:$5</c:f>
              <c:numCache>
                <c:formatCode>0.00E+00</c:formatCode>
                <c:ptCount val="16384"/>
                <c:pt idx="1">
                  <c:v>5.7839429415021994E-2</c:v>
                </c:pt>
                <c:pt idx="2">
                  <c:v>5.7850351223126206E-2</c:v>
                </c:pt>
                <c:pt idx="3">
                  <c:v>5.7901524700237836E-2</c:v>
                </c:pt>
                <c:pt idx="4">
                  <c:v>5.8609227878819871E-2</c:v>
                </c:pt>
                <c:pt idx="5">
                  <c:v>5.796128430575289E-2</c:v>
                </c:pt>
                <c:pt idx="6">
                  <c:v>5.8368562816577464E-2</c:v>
                </c:pt>
                <c:pt idx="7">
                  <c:v>5.8410913727113309E-2</c:v>
                </c:pt>
                <c:pt idx="8">
                  <c:v>5.8611387162345936E-2</c:v>
                </c:pt>
                <c:pt idx="10">
                  <c:v>6.3559138205101437E-2</c:v>
                </c:pt>
                <c:pt idx="11">
                  <c:v>6.3579630553281891E-2</c:v>
                </c:pt>
                <c:pt idx="12">
                  <c:v>6.3671341475268012E-2</c:v>
                </c:pt>
                <c:pt idx="13">
                  <c:v>6.4188170863576574E-2</c:v>
                </c:pt>
                <c:pt idx="14">
                  <c:v>6.4188170863576574E-2</c:v>
                </c:pt>
                <c:pt idx="15">
                  <c:v>6.3831198668081485E-2</c:v>
                </c:pt>
                <c:pt idx="16">
                  <c:v>6.4182998116628254E-2</c:v>
                </c:pt>
                <c:pt idx="19">
                  <c:v>6.929166546877942E-2</c:v>
                </c:pt>
                <c:pt idx="20">
                  <c:v>6.9065315488832851E-2</c:v>
                </c:pt>
                <c:pt idx="21">
                  <c:v>6.9317357773674315E-2</c:v>
                </c:pt>
                <c:pt idx="22">
                  <c:v>6.9370368259323176E-2</c:v>
                </c:pt>
                <c:pt idx="23">
                  <c:v>6.975301752657026E-2</c:v>
                </c:pt>
                <c:pt idx="24">
                  <c:v>6.9754141821439394E-2</c:v>
                </c:pt>
                <c:pt idx="27">
                  <c:v>7.529064193647278E-2</c:v>
                </c:pt>
                <c:pt idx="28">
                  <c:v>7.5339893161420257E-2</c:v>
                </c:pt>
                <c:pt idx="29">
                  <c:v>7.5139620969535761E-2</c:v>
                </c:pt>
                <c:pt idx="30">
                  <c:v>7.5321680329115626E-2</c:v>
                </c:pt>
                <c:pt idx="31">
                  <c:v>7.4832973099277125E-2</c:v>
                </c:pt>
                <c:pt idx="32">
                  <c:v>7.5339893161420257E-2</c:v>
                </c:pt>
                <c:pt idx="35">
                  <c:v>8.0635261740666694E-2</c:v>
                </c:pt>
                <c:pt idx="36">
                  <c:v>8.0244079589587666E-2</c:v>
                </c:pt>
                <c:pt idx="37">
                  <c:v>7.990537610182763E-2</c:v>
                </c:pt>
                <c:pt idx="38">
                  <c:v>8.0647888258656833E-2</c:v>
                </c:pt>
                <c:pt idx="39">
                  <c:v>8.0915738091536335E-2</c:v>
                </c:pt>
                <c:pt idx="40">
                  <c:v>8.0893569599537085E-2</c:v>
                </c:pt>
                <c:pt idx="43">
                  <c:v>8.6491613710759266E-2</c:v>
                </c:pt>
                <c:pt idx="44">
                  <c:v>8.5581520856648885E-2</c:v>
                </c:pt>
                <c:pt idx="45">
                  <c:v>8.6491613710759266E-2</c:v>
                </c:pt>
                <c:pt idx="46">
                  <c:v>8.64583613362985E-2</c:v>
                </c:pt>
                <c:pt idx="47">
                  <c:v>8.5847766379189977E-2</c:v>
                </c:pt>
                <c:pt idx="48">
                  <c:v>8.6099176967550387E-2</c:v>
                </c:pt>
                <c:pt idx="50">
                  <c:v>9.1523889999999997E-2</c:v>
                </c:pt>
                <c:pt idx="51">
                  <c:v>9.1567289999999996E-2</c:v>
                </c:pt>
                <c:pt idx="52">
                  <c:v>9.2067640000000006E-2</c:v>
                </c:pt>
                <c:pt idx="53">
                  <c:v>9.2067640000000006E-2</c:v>
                </c:pt>
                <c:pt idx="58">
                  <c:v>9.6343850625067867E-2</c:v>
                </c:pt>
                <c:pt idx="59">
                  <c:v>9.7578244367683836E-2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0F-4982-B977-64AD501E2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67184"/>
        <c:axId val="695069704"/>
      </c:scatterChart>
      <c:valAx>
        <c:axId val="69506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LF3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52050431998546765"/>
              <c:y val="0.913730040467281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069704"/>
        <c:crosses val="autoZero"/>
        <c:crossBetween val="midCat"/>
      </c:valAx>
      <c:valAx>
        <c:axId val="69506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HF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067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833542918355"/>
          <c:y val="5.092611171401322E-2"/>
          <c:w val="0.78163238159062309"/>
          <c:h val="0.792930875541935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LF1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7166587062623412E-2"/>
                  <c:y val="-3.99643499026381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Sheet1!$B$10:$BM$10</c:f>
              <c:numCache>
                <c:formatCode>0.00E+00</c:formatCode>
                <c:ptCount val="64"/>
                <c:pt idx="0">
                  <c:v>0.30173329999999998</c:v>
                </c:pt>
                <c:pt idx="1">
                  <c:v>0.30173329999999998</c:v>
                </c:pt>
                <c:pt idx="2">
                  <c:v>0.30173329999999998</c:v>
                </c:pt>
                <c:pt idx="3">
                  <c:v>0.30173329999999998</c:v>
                </c:pt>
                <c:pt idx="4">
                  <c:v>0.30173329999999998</c:v>
                </c:pt>
                <c:pt idx="5">
                  <c:v>0.30173329999999998</c:v>
                </c:pt>
                <c:pt idx="6">
                  <c:v>0.30173329999999998</c:v>
                </c:pt>
                <c:pt idx="7">
                  <c:v>0.30173329999999998</c:v>
                </c:pt>
                <c:pt idx="8">
                  <c:v>0.34747719999999999</c:v>
                </c:pt>
                <c:pt idx="9">
                  <c:v>0.34747719999999999</c:v>
                </c:pt>
                <c:pt idx="10">
                  <c:v>0.34747719999999999</c:v>
                </c:pt>
                <c:pt idx="11">
                  <c:v>0.34747719999999999</c:v>
                </c:pt>
                <c:pt idx="12">
                  <c:v>0.34747719999999999</c:v>
                </c:pt>
                <c:pt idx="13">
                  <c:v>0.34747719999999999</c:v>
                </c:pt>
                <c:pt idx="14">
                  <c:v>0.34747719999999999</c:v>
                </c:pt>
                <c:pt idx="15">
                  <c:v>0.34747719999999999</c:v>
                </c:pt>
                <c:pt idx="16">
                  <c:v>0.38655460000000003</c:v>
                </c:pt>
                <c:pt idx="17">
                  <c:v>0.38655460000000003</c:v>
                </c:pt>
                <c:pt idx="18">
                  <c:v>0.38655469999999997</c:v>
                </c:pt>
                <c:pt idx="19">
                  <c:v>0.38655460000000003</c:v>
                </c:pt>
                <c:pt idx="20">
                  <c:v>0.38655460000000003</c:v>
                </c:pt>
                <c:pt idx="21">
                  <c:v>0.38655460000000003</c:v>
                </c:pt>
                <c:pt idx="22">
                  <c:v>0.38655460000000003</c:v>
                </c:pt>
                <c:pt idx="23">
                  <c:v>0.38655460000000003</c:v>
                </c:pt>
                <c:pt idx="24">
                  <c:v>0.42238340000000002</c:v>
                </c:pt>
                <c:pt idx="25">
                  <c:v>0.42238340000000002</c:v>
                </c:pt>
                <c:pt idx="26">
                  <c:v>0.42238340000000002</c:v>
                </c:pt>
                <c:pt idx="27">
                  <c:v>0.42238340000000002</c:v>
                </c:pt>
                <c:pt idx="28">
                  <c:v>0.42238340000000002</c:v>
                </c:pt>
                <c:pt idx="29">
                  <c:v>0.42238350000000002</c:v>
                </c:pt>
                <c:pt idx="30">
                  <c:v>0.42238340000000002</c:v>
                </c:pt>
                <c:pt idx="31">
                  <c:v>0.42238340000000002</c:v>
                </c:pt>
                <c:pt idx="32">
                  <c:v>0.45584540000000001</c:v>
                </c:pt>
                <c:pt idx="33">
                  <c:v>0.45584540000000001</c:v>
                </c:pt>
                <c:pt idx="34">
                  <c:v>0.45584540000000001</c:v>
                </c:pt>
                <c:pt idx="35">
                  <c:v>0.45584540000000001</c:v>
                </c:pt>
                <c:pt idx="36">
                  <c:v>0.45584540000000001</c:v>
                </c:pt>
                <c:pt idx="37">
                  <c:v>0.45584540000000001</c:v>
                </c:pt>
                <c:pt idx="38">
                  <c:v>0.45584540000000001</c:v>
                </c:pt>
                <c:pt idx="39">
                  <c:v>0.45584540000000001</c:v>
                </c:pt>
                <c:pt idx="40">
                  <c:v>0.49525960000000002</c:v>
                </c:pt>
                <c:pt idx="41">
                  <c:v>0.48722349999999998</c:v>
                </c:pt>
                <c:pt idx="42">
                  <c:v>0.48722349999999998</c:v>
                </c:pt>
                <c:pt idx="43">
                  <c:v>0.48722349999999998</c:v>
                </c:pt>
                <c:pt idx="44">
                  <c:v>0.48722349999999998</c:v>
                </c:pt>
                <c:pt idx="45">
                  <c:v>0.48722349999999998</c:v>
                </c:pt>
                <c:pt idx="46">
                  <c:v>0.48722349999999998</c:v>
                </c:pt>
                <c:pt idx="47">
                  <c:v>0.48722349999999998</c:v>
                </c:pt>
                <c:pt idx="48">
                  <c:v>0.5237368</c:v>
                </c:pt>
                <c:pt idx="49">
                  <c:v>0.51656040000000003</c:v>
                </c:pt>
                <c:pt idx="50">
                  <c:v>0.51656049999999998</c:v>
                </c:pt>
                <c:pt idx="51">
                  <c:v>0.51656060000000004</c:v>
                </c:pt>
                <c:pt idx="52">
                  <c:v>0.51656049999999998</c:v>
                </c:pt>
                <c:pt idx="53">
                  <c:v>0.51656049999999998</c:v>
                </c:pt>
                <c:pt idx="54">
                  <c:v>0.51656049999999998</c:v>
                </c:pt>
                <c:pt idx="55">
                  <c:v>0.51656049999999998</c:v>
                </c:pt>
                <c:pt idx="56">
                  <c:v>0.5504</c:v>
                </c:pt>
                <c:pt idx="57">
                  <c:v>0.54312000000000005</c:v>
                </c:pt>
                <c:pt idx="58">
                  <c:v>0.54311989999999999</c:v>
                </c:pt>
                <c:pt idx="59">
                  <c:v>0.54312000000000005</c:v>
                </c:pt>
                <c:pt idx="60">
                  <c:v>0.54312000000000005</c:v>
                </c:pt>
                <c:pt idx="61">
                  <c:v>0.54312000000000005</c:v>
                </c:pt>
                <c:pt idx="62">
                  <c:v>0.54311989999999999</c:v>
                </c:pt>
                <c:pt idx="63">
                  <c:v>0.54312000000000005</c:v>
                </c:pt>
              </c:numCache>
            </c:numRef>
          </c:xVal>
          <c:yVal>
            <c:numRef>
              <c:f>Sheet1!$B$5:$BM$5</c:f>
              <c:numCache>
                <c:formatCode>0.00E+00</c:formatCode>
                <c:ptCount val="64"/>
                <c:pt idx="0">
                  <c:v>5.7839429415021994E-2</c:v>
                </c:pt>
                <c:pt idx="1">
                  <c:v>5.7850351223126206E-2</c:v>
                </c:pt>
                <c:pt idx="2">
                  <c:v>5.7901524700237836E-2</c:v>
                </c:pt>
                <c:pt idx="3">
                  <c:v>5.8609227878819871E-2</c:v>
                </c:pt>
                <c:pt idx="4">
                  <c:v>5.796128430575289E-2</c:v>
                </c:pt>
                <c:pt idx="5">
                  <c:v>5.8368562816577464E-2</c:v>
                </c:pt>
                <c:pt idx="6">
                  <c:v>5.8410913727113309E-2</c:v>
                </c:pt>
                <c:pt idx="7">
                  <c:v>5.8611387162345936E-2</c:v>
                </c:pt>
                <c:pt idx="9">
                  <c:v>6.3559138205101437E-2</c:v>
                </c:pt>
                <c:pt idx="10">
                  <c:v>6.3579630553281891E-2</c:v>
                </c:pt>
                <c:pt idx="11">
                  <c:v>6.3671341475268012E-2</c:v>
                </c:pt>
                <c:pt idx="12">
                  <c:v>6.4188170863576574E-2</c:v>
                </c:pt>
                <c:pt idx="13">
                  <c:v>6.4188170863576574E-2</c:v>
                </c:pt>
                <c:pt idx="14">
                  <c:v>6.3831198668081485E-2</c:v>
                </c:pt>
                <c:pt idx="15">
                  <c:v>6.4182998116628254E-2</c:v>
                </c:pt>
                <c:pt idx="18">
                  <c:v>6.929166546877942E-2</c:v>
                </c:pt>
                <c:pt idx="19">
                  <c:v>6.9065315488832851E-2</c:v>
                </c:pt>
                <c:pt idx="20">
                  <c:v>6.9317357773674315E-2</c:v>
                </c:pt>
                <c:pt idx="21">
                  <c:v>6.9370368259323176E-2</c:v>
                </c:pt>
                <c:pt idx="22">
                  <c:v>6.975301752657026E-2</c:v>
                </c:pt>
                <c:pt idx="23">
                  <c:v>6.9754141821439394E-2</c:v>
                </c:pt>
                <c:pt idx="26">
                  <c:v>7.529064193647278E-2</c:v>
                </c:pt>
                <c:pt idx="27">
                  <c:v>7.5339893161420257E-2</c:v>
                </c:pt>
                <c:pt idx="28">
                  <c:v>7.5139620969535761E-2</c:v>
                </c:pt>
                <c:pt idx="29">
                  <c:v>7.5321680329115626E-2</c:v>
                </c:pt>
                <c:pt idx="30">
                  <c:v>7.4832973099277125E-2</c:v>
                </c:pt>
                <c:pt idx="31">
                  <c:v>7.5339893161420257E-2</c:v>
                </c:pt>
                <c:pt idx="34">
                  <c:v>8.0635261740666694E-2</c:v>
                </c:pt>
                <c:pt idx="35">
                  <c:v>8.0244079589587666E-2</c:v>
                </c:pt>
                <c:pt idx="36">
                  <c:v>7.990537610182763E-2</c:v>
                </c:pt>
                <c:pt idx="37">
                  <c:v>8.0647888258656833E-2</c:v>
                </c:pt>
                <c:pt idx="38">
                  <c:v>8.0915738091536335E-2</c:v>
                </c:pt>
                <c:pt idx="39">
                  <c:v>8.0893569599537085E-2</c:v>
                </c:pt>
                <c:pt idx="42">
                  <c:v>8.6491613710759266E-2</c:v>
                </c:pt>
                <c:pt idx="43">
                  <c:v>8.5581520856648885E-2</c:v>
                </c:pt>
                <c:pt idx="44">
                  <c:v>8.6491613710759266E-2</c:v>
                </c:pt>
                <c:pt idx="45">
                  <c:v>8.64583613362985E-2</c:v>
                </c:pt>
                <c:pt idx="46">
                  <c:v>8.5847766379189977E-2</c:v>
                </c:pt>
                <c:pt idx="47">
                  <c:v>8.6099176967550387E-2</c:v>
                </c:pt>
                <c:pt idx="49">
                  <c:v>9.1523889999999997E-2</c:v>
                </c:pt>
                <c:pt idx="50">
                  <c:v>9.1567289999999996E-2</c:v>
                </c:pt>
                <c:pt idx="51">
                  <c:v>9.2067640000000006E-2</c:v>
                </c:pt>
                <c:pt idx="52">
                  <c:v>9.2067640000000006E-2</c:v>
                </c:pt>
                <c:pt idx="57">
                  <c:v>9.6343850625067867E-2</c:v>
                </c:pt>
                <c:pt idx="58">
                  <c:v>9.7578244367683836E-2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7-4B4D-9F46-8A51875CC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67184"/>
        <c:axId val="695069704"/>
      </c:scatterChart>
      <c:valAx>
        <c:axId val="695067184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LF1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9234912207163151"/>
              <c:y val="0.915122008697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069704"/>
        <c:crosses val="autoZero"/>
        <c:crossBetween val="midCat"/>
      </c:valAx>
      <c:valAx>
        <c:axId val="69506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HF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06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053340875485"/>
          <c:y val="6.4559233772920929E-2"/>
          <c:w val="0.80478930443246566"/>
          <c:h val="0.77444291258261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LF2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055774278215224E-2"/>
                  <c:y val="-0.111698745990084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Sheet1!$16:$16</c:f>
              <c:numCache>
                <c:formatCode>0.00E+00</c:formatCode>
                <c:ptCount val="16384"/>
                <c:pt idx="1">
                  <c:v>0.33160869999999998</c:v>
                </c:pt>
                <c:pt idx="2">
                  <c:v>0.33160879999999998</c:v>
                </c:pt>
                <c:pt idx="3">
                  <c:v>0.33160889999999998</c:v>
                </c:pt>
                <c:pt idx="4">
                  <c:v>0.33160909999999999</c:v>
                </c:pt>
                <c:pt idx="5">
                  <c:v>0.33160919999999999</c:v>
                </c:pt>
                <c:pt idx="6">
                  <c:v>0.3316095</c:v>
                </c:pt>
                <c:pt idx="7">
                  <c:v>0.33160970000000001</c:v>
                </c:pt>
                <c:pt idx="8">
                  <c:v>0.33161000000000002</c:v>
                </c:pt>
                <c:pt idx="9">
                  <c:v>0.30842730000000002</c:v>
                </c:pt>
                <c:pt idx="10">
                  <c:v>0.30842740000000002</c:v>
                </c:pt>
                <c:pt idx="11">
                  <c:v>0.30842750000000002</c:v>
                </c:pt>
                <c:pt idx="12">
                  <c:v>0.30842770000000003</c:v>
                </c:pt>
                <c:pt idx="13">
                  <c:v>0.30842799999999998</c:v>
                </c:pt>
                <c:pt idx="14">
                  <c:v>0.30842819999999999</c:v>
                </c:pt>
                <c:pt idx="15">
                  <c:v>0.30842849999999999</c:v>
                </c:pt>
                <c:pt idx="16">
                  <c:v>0.3084287</c:v>
                </c:pt>
                <c:pt idx="17">
                  <c:v>0.25843769999999999</c:v>
                </c:pt>
                <c:pt idx="18">
                  <c:v>0.2584378</c:v>
                </c:pt>
                <c:pt idx="19">
                  <c:v>0.2584379</c:v>
                </c:pt>
                <c:pt idx="20">
                  <c:v>0.258438</c:v>
                </c:pt>
                <c:pt idx="21">
                  <c:v>0.25843820000000001</c:v>
                </c:pt>
                <c:pt idx="22">
                  <c:v>0.25843840000000001</c:v>
                </c:pt>
                <c:pt idx="23">
                  <c:v>0.25843870000000002</c:v>
                </c:pt>
                <c:pt idx="24">
                  <c:v>0.25843899999999997</c:v>
                </c:pt>
                <c:pt idx="25">
                  <c:v>0.2066846</c:v>
                </c:pt>
                <c:pt idx="26">
                  <c:v>0.2066846</c:v>
                </c:pt>
                <c:pt idx="27">
                  <c:v>0.2066848</c:v>
                </c:pt>
                <c:pt idx="28">
                  <c:v>0.2066849</c:v>
                </c:pt>
                <c:pt idx="29">
                  <c:v>0.20668510000000001</c:v>
                </c:pt>
                <c:pt idx="30">
                  <c:v>0.20668520000000001</c:v>
                </c:pt>
                <c:pt idx="31">
                  <c:v>0.20668539999999999</c:v>
                </c:pt>
                <c:pt idx="32">
                  <c:v>0.2066857</c:v>
                </c:pt>
                <c:pt idx="33">
                  <c:v>0.1623665</c:v>
                </c:pt>
                <c:pt idx="34">
                  <c:v>0.1623666</c:v>
                </c:pt>
                <c:pt idx="35">
                  <c:v>0.1623667</c:v>
                </c:pt>
                <c:pt idx="36">
                  <c:v>0.16236680000000001</c:v>
                </c:pt>
                <c:pt idx="37">
                  <c:v>0.16236690000000001</c:v>
                </c:pt>
                <c:pt idx="38">
                  <c:v>0.16236700000000001</c:v>
                </c:pt>
                <c:pt idx="39">
                  <c:v>0.16236719999999999</c:v>
                </c:pt>
                <c:pt idx="40">
                  <c:v>0.1623674</c:v>
                </c:pt>
                <c:pt idx="41">
                  <c:v>0.12746869999999999</c:v>
                </c:pt>
                <c:pt idx="42">
                  <c:v>0.12725880000000001</c:v>
                </c:pt>
                <c:pt idx="43">
                  <c:v>0.12725880000000001</c:v>
                </c:pt>
                <c:pt idx="44">
                  <c:v>0.12725890000000001</c:v>
                </c:pt>
                <c:pt idx="45">
                  <c:v>0.12725900000000001</c:v>
                </c:pt>
                <c:pt idx="46">
                  <c:v>0.12725910000000001</c:v>
                </c:pt>
                <c:pt idx="47">
                  <c:v>0.12725929999999999</c:v>
                </c:pt>
                <c:pt idx="48">
                  <c:v>0.12725939999999999</c:v>
                </c:pt>
                <c:pt idx="49">
                  <c:v>0.10089579999999999</c:v>
                </c:pt>
                <c:pt idx="50">
                  <c:v>0.1004051</c:v>
                </c:pt>
                <c:pt idx="51">
                  <c:v>0.1004052</c:v>
                </c:pt>
                <c:pt idx="52">
                  <c:v>0.1004052</c:v>
                </c:pt>
                <c:pt idx="53">
                  <c:v>0.1004053</c:v>
                </c:pt>
                <c:pt idx="54">
                  <c:v>0.10040540000000001</c:v>
                </c:pt>
                <c:pt idx="55">
                  <c:v>0.10040549999999999</c:v>
                </c:pt>
                <c:pt idx="56">
                  <c:v>0.1004056</c:v>
                </c:pt>
                <c:pt idx="57">
                  <c:v>8.0702780000000002E-2</c:v>
                </c:pt>
                <c:pt idx="58">
                  <c:v>8.0214240000000006E-2</c:v>
                </c:pt>
                <c:pt idx="59">
                  <c:v>8.0214279999999999E-2</c:v>
                </c:pt>
                <c:pt idx="60">
                  <c:v>8.021433E-2</c:v>
                </c:pt>
                <c:pt idx="61">
                  <c:v>8.0214380000000002E-2</c:v>
                </c:pt>
                <c:pt idx="62">
                  <c:v>8.0214460000000001E-2</c:v>
                </c:pt>
                <c:pt idx="63">
                  <c:v>8.0214560000000004E-2</c:v>
                </c:pt>
                <c:pt idx="64">
                  <c:v>8.0214629999999995E-2</c:v>
                </c:pt>
              </c:numCache>
            </c:numRef>
          </c:xVal>
          <c:yVal>
            <c:numRef>
              <c:f>Sheet1!$5:$5</c:f>
              <c:numCache>
                <c:formatCode>0.00E+00</c:formatCode>
                <c:ptCount val="16384"/>
                <c:pt idx="1">
                  <c:v>5.7839429415021994E-2</c:v>
                </c:pt>
                <c:pt idx="2">
                  <c:v>5.7850351223126206E-2</c:v>
                </c:pt>
                <c:pt idx="3">
                  <c:v>5.7901524700237836E-2</c:v>
                </c:pt>
                <c:pt idx="4">
                  <c:v>5.8609227878819871E-2</c:v>
                </c:pt>
                <c:pt idx="5">
                  <c:v>5.796128430575289E-2</c:v>
                </c:pt>
                <c:pt idx="6">
                  <c:v>5.8368562816577464E-2</c:v>
                </c:pt>
                <c:pt idx="7">
                  <c:v>5.8410913727113309E-2</c:v>
                </c:pt>
                <c:pt idx="8">
                  <c:v>5.8611387162345936E-2</c:v>
                </c:pt>
                <c:pt idx="10">
                  <c:v>6.3559138205101437E-2</c:v>
                </c:pt>
                <c:pt idx="11">
                  <c:v>6.3579630553281891E-2</c:v>
                </c:pt>
                <c:pt idx="12">
                  <c:v>6.3671341475268012E-2</c:v>
                </c:pt>
                <c:pt idx="13">
                  <c:v>6.4188170863576574E-2</c:v>
                </c:pt>
                <c:pt idx="14">
                  <c:v>6.4188170863576574E-2</c:v>
                </c:pt>
                <c:pt idx="15">
                  <c:v>6.3831198668081485E-2</c:v>
                </c:pt>
                <c:pt idx="16">
                  <c:v>6.4182998116628254E-2</c:v>
                </c:pt>
                <c:pt idx="19">
                  <c:v>6.929166546877942E-2</c:v>
                </c:pt>
                <c:pt idx="20">
                  <c:v>6.9065315488832851E-2</c:v>
                </c:pt>
                <c:pt idx="21">
                  <c:v>6.9317357773674315E-2</c:v>
                </c:pt>
                <c:pt idx="22">
                  <c:v>6.9370368259323176E-2</c:v>
                </c:pt>
                <c:pt idx="23">
                  <c:v>6.975301752657026E-2</c:v>
                </c:pt>
                <c:pt idx="24">
                  <c:v>6.9754141821439394E-2</c:v>
                </c:pt>
                <c:pt idx="27">
                  <c:v>7.529064193647278E-2</c:v>
                </c:pt>
                <c:pt idx="28">
                  <c:v>7.5339893161420257E-2</c:v>
                </c:pt>
                <c:pt idx="29">
                  <c:v>7.5139620969535761E-2</c:v>
                </c:pt>
                <c:pt idx="30">
                  <c:v>7.5321680329115626E-2</c:v>
                </c:pt>
                <c:pt idx="31">
                  <c:v>7.4832973099277125E-2</c:v>
                </c:pt>
                <c:pt idx="32">
                  <c:v>7.5339893161420257E-2</c:v>
                </c:pt>
                <c:pt idx="35">
                  <c:v>8.0635261740666694E-2</c:v>
                </c:pt>
                <c:pt idx="36">
                  <c:v>8.0244079589587666E-2</c:v>
                </c:pt>
                <c:pt idx="37">
                  <c:v>7.990537610182763E-2</c:v>
                </c:pt>
                <c:pt idx="38">
                  <c:v>8.0647888258656833E-2</c:v>
                </c:pt>
                <c:pt idx="39">
                  <c:v>8.0915738091536335E-2</c:v>
                </c:pt>
                <c:pt idx="40">
                  <c:v>8.0893569599537085E-2</c:v>
                </c:pt>
                <c:pt idx="43">
                  <c:v>8.6491613710759266E-2</c:v>
                </c:pt>
                <c:pt idx="44">
                  <c:v>8.5581520856648885E-2</c:v>
                </c:pt>
                <c:pt idx="45">
                  <c:v>8.6491613710759266E-2</c:v>
                </c:pt>
                <c:pt idx="46">
                  <c:v>8.64583613362985E-2</c:v>
                </c:pt>
                <c:pt idx="47">
                  <c:v>8.5847766379189977E-2</c:v>
                </c:pt>
                <c:pt idx="48">
                  <c:v>8.6099176967550387E-2</c:v>
                </c:pt>
                <c:pt idx="50">
                  <c:v>9.1523889999999997E-2</c:v>
                </c:pt>
                <c:pt idx="51">
                  <c:v>9.1567289999999996E-2</c:v>
                </c:pt>
                <c:pt idx="52">
                  <c:v>9.2067640000000006E-2</c:v>
                </c:pt>
                <c:pt idx="53">
                  <c:v>9.2067640000000006E-2</c:v>
                </c:pt>
                <c:pt idx="58">
                  <c:v>9.6343850625067867E-2</c:v>
                </c:pt>
                <c:pt idx="59">
                  <c:v>9.7578244367683836E-2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1-4214-8055-08B322723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452656"/>
        <c:axId val="701453016"/>
      </c:scatterChart>
      <c:valAx>
        <c:axId val="701452656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LF2</a:t>
                </a:r>
              </a:p>
            </c:rich>
          </c:tx>
          <c:layout>
            <c:manualLayout>
              <c:xMode val="edge"/>
              <c:yMode val="edge"/>
              <c:x val="0.51801970552528775"/>
              <c:y val="0.9147935276138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1453016"/>
        <c:crosses val="autoZero"/>
        <c:crossBetween val="midCat"/>
      </c:valAx>
      <c:valAx>
        <c:axId val="70145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HF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145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3C9B96-466A-45EA-BE88-90099FEC0083}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CDD5D2C-EE12-57FA-DA1C-9016CD2A07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81519</xdr:colOff>
      <xdr:row>25</xdr:row>
      <xdr:rowOff>123760</xdr:rowOff>
    </xdr:from>
    <xdr:to>
      <xdr:col>23</xdr:col>
      <xdr:colOff>55578</xdr:colOff>
      <xdr:row>42</xdr:row>
      <xdr:rowOff>25148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5AA85BD-9A67-8EC5-1FC7-4310B6069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26</xdr:row>
      <xdr:rowOff>126626</xdr:rowOff>
    </xdr:from>
    <xdr:to>
      <xdr:col>7</xdr:col>
      <xdr:colOff>468237</xdr:colOff>
      <xdr:row>43</xdr:row>
      <xdr:rowOff>28014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179C03D-89C0-4836-9A95-51E876D7D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161924</xdr:colOff>
      <xdr:row>26</xdr:row>
      <xdr:rowOff>134470</xdr:rowOff>
    </xdr:from>
    <xdr:to>
      <xdr:col>15</xdr:col>
      <xdr:colOff>148317</xdr:colOff>
      <xdr:row>42</xdr:row>
      <xdr:rowOff>175531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9510E85-2953-5968-10CB-81F435629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2911-EF01-4B9E-9666-010A35BB8A67}">
  <dimension ref="A1:BM28"/>
  <sheetViews>
    <sheetView tabSelected="1" topLeftCell="A4" zoomScale="70" zoomScaleNormal="70" workbookViewId="0">
      <selection activeCell="BB35" sqref="BB35"/>
    </sheetView>
  </sheetViews>
  <sheetFormatPr defaultRowHeight="16.5" x14ac:dyDescent="0.3"/>
  <cols>
    <col min="3" max="3" width="9.375" bestFit="1" customWidth="1"/>
    <col min="5" max="5" width="9.375" bestFit="1" customWidth="1"/>
    <col min="7" max="7" width="9.375" bestFit="1" customWidth="1"/>
    <col min="9" max="9" width="9.375" bestFit="1" customWidth="1"/>
    <col min="28" max="28" width="10.25" bestFit="1" customWidth="1"/>
    <col min="59" max="60" width="10.625" bestFit="1" customWidth="1"/>
  </cols>
  <sheetData>
    <row r="1" spans="1:65" x14ac:dyDescent="0.3">
      <c r="A1" t="s">
        <v>0</v>
      </c>
    </row>
    <row r="2" spans="1:65" x14ac:dyDescent="0.3">
      <c r="A2" t="s">
        <v>4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1.64285714</v>
      </c>
      <c r="K2">
        <v>1.64285714</v>
      </c>
      <c r="L2">
        <v>1.64285714</v>
      </c>
      <c r="M2">
        <v>1.64285714</v>
      </c>
      <c r="N2">
        <v>1.64285714</v>
      </c>
      <c r="O2">
        <v>1.64285714</v>
      </c>
      <c r="P2">
        <v>1.64285714</v>
      </c>
      <c r="Q2">
        <v>1.64285714</v>
      </c>
      <c r="R2">
        <v>1.78571429</v>
      </c>
      <c r="S2">
        <v>1.78571429</v>
      </c>
      <c r="T2">
        <v>1.78571429</v>
      </c>
      <c r="U2">
        <v>1.78571429</v>
      </c>
      <c r="V2">
        <v>1.78571429</v>
      </c>
      <c r="W2">
        <v>1.78571429</v>
      </c>
      <c r="X2">
        <v>1.78571429</v>
      </c>
      <c r="Y2">
        <v>1.78571429</v>
      </c>
      <c r="Z2">
        <v>1.9285714300000001</v>
      </c>
      <c r="AA2">
        <v>1.9285714300000001</v>
      </c>
      <c r="AB2">
        <v>1.9285714300000001</v>
      </c>
      <c r="AC2">
        <v>1.9285714300000001</v>
      </c>
      <c r="AD2">
        <v>1.9285714300000001</v>
      </c>
      <c r="AE2">
        <v>1.9285714300000001</v>
      </c>
      <c r="AF2">
        <v>1.9285714300000001</v>
      </c>
      <c r="AG2">
        <v>1.9285714300000001</v>
      </c>
      <c r="AH2">
        <v>2.0714285700000001</v>
      </c>
      <c r="AI2">
        <v>2.0714285700000001</v>
      </c>
      <c r="AJ2">
        <v>2.0714285700000001</v>
      </c>
      <c r="AK2">
        <v>2.0714285700000001</v>
      </c>
      <c r="AL2">
        <v>2.0714285700000001</v>
      </c>
      <c r="AM2">
        <v>2.0714285700000001</v>
      </c>
      <c r="AN2">
        <v>2.0714285700000001</v>
      </c>
      <c r="AO2">
        <v>2.0714285700000001</v>
      </c>
      <c r="AP2">
        <v>2.21428571</v>
      </c>
      <c r="AQ2">
        <v>2.21428571</v>
      </c>
      <c r="AR2">
        <v>2.21428571</v>
      </c>
      <c r="AS2">
        <v>2.21428571</v>
      </c>
      <c r="AT2">
        <v>2.21428571</v>
      </c>
      <c r="AU2">
        <v>2.21428571</v>
      </c>
      <c r="AV2">
        <v>2.21428571</v>
      </c>
      <c r="AW2">
        <v>2.21428571</v>
      </c>
      <c r="AX2">
        <v>2.3571428600000002</v>
      </c>
      <c r="AY2">
        <v>2.3571428600000002</v>
      </c>
      <c r="AZ2">
        <v>2.3571428600000002</v>
      </c>
      <c r="BA2">
        <v>2.3571428600000002</v>
      </c>
      <c r="BB2">
        <v>2.3571428600000002</v>
      </c>
      <c r="BC2">
        <v>2.3571428600000002</v>
      </c>
      <c r="BD2">
        <v>2.3571428600000002</v>
      </c>
      <c r="BE2">
        <v>2.3571428600000002</v>
      </c>
      <c r="BF2">
        <v>2.5</v>
      </c>
      <c r="BG2">
        <v>2.5</v>
      </c>
      <c r="BH2">
        <v>2.5</v>
      </c>
      <c r="BI2">
        <v>2.5</v>
      </c>
      <c r="BJ2">
        <v>2.5</v>
      </c>
      <c r="BK2">
        <v>2.5</v>
      </c>
      <c r="BL2">
        <v>2.5</v>
      </c>
      <c r="BM2">
        <v>2.5</v>
      </c>
    </row>
    <row r="3" spans="1:65" x14ac:dyDescent="0.3">
      <c r="A3" t="s">
        <v>5</v>
      </c>
      <c r="B3" s="1">
        <v>5.0000000000000004E-6</v>
      </c>
      <c r="C3" s="1">
        <v>7.1428571399999998E-6</v>
      </c>
      <c r="D3" s="1">
        <v>9.2857142899999998E-6</v>
      </c>
      <c r="E3" s="1">
        <v>1.14285714E-5</v>
      </c>
      <c r="F3" s="1">
        <v>1.35714286E-5</v>
      </c>
      <c r="G3" s="1">
        <v>1.57142857E-5</v>
      </c>
      <c r="H3" s="1">
        <v>1.7857142900000002E-5</v>
      </c>
      <c r="I3" s="1">
        <v>2.0000000000000002E-5</v>
      </c>
      <c r="J3" s="1">
        <v>5.0000000000000004E-6</v>
      </c>
      <c r="K3" s="1">
        <v>7.1428571399999998E-6</v>
      </c>
      <c r="L3" s="1">
        <v>9.2857142899999998E-6</v>
      </c>
      <c r="M3" s="1">
        <v>1.14285714E-5</v>
      </c>
      <c r="N3" s="1">
        <v>1.35714286E-5</v>
      </c>
      <c r="O3" s="1">
        <v>1.57142857E-5</v>
      </c>
      <c r="P3" s="1">
        <v>1.7857142900000002E-5</v>
      </c>
      <c r="Q3" s="1">
        <v>2.0000000000000002E-5</v>
      </c>
      <c r="R3" s="1">
        <v>5.0000000000000004E-6</v>
      </c>
      <c r="S3" s="1">
        <v>7.1428571399999998E-6</v>
      </c>
      <c r="T3" s="1">
        <v>9.2857142899999998E-6</v>
      </c>
      <c r="U3" s="1">
        <v>1.14285714E-5</v>
      </c>
      <c r="V3" s="1">
        <v>1.35714286E-5</v>
      </c>
      <c r="W3" s="1">
        <v>1.57142857E-5</v>
      </c>
      <c r="X3" s="1">
        <v>1.7857142900000002E-5</v>
      </c>
      <c r="Y3" s="1">
        <v>2.0000000000000002E-5</v>
      </c>
      <c r="Z3" s="1">
        <v>5.0000000000000004E-6</v>
      </c>
      <c r="AA3" s="1">
        <v>7.1428571399999998E-6</v>
      </c>
      <c r="AB3" s="1">
        <v>9.2857142899999998E-6</v>
      </c>
      <c r="AC3" s="1">
        <v>1.14285714E-5</v>
      </c>
      <c r="AD3" s="1">
        <v>1.35714286E-5</v>
      </c>
      <c r="AE3" s="1">
        <v>1.57142857E-5</v>
      </c>
      <c r="AF3" s="1">
        <v>1.7857142900000002E-5</v>
      </c>
      <c r="AG3" s="1">
        <v>2.0000000000000002E-5</v>
      </c>
      <c r="AH3" s="1">
        <v>5.0000000000000004E-6</v>
      </c>
      <c r="AI3" s="1">
        <v>7.1428571399999998E-6</v>
      </c>
      <c r="AJ3" s="1">
        <v>9.2857142899999998E-6</v>
      </c>
      <c r="AK3" s="1">
        <v>1.14285714E-5</v>
      </c>
      <c r="AL3" s="1">
        <v>1.35714286E-5</v>
      </c>
      <c r="AM3" s="1">
        <v>1.57142857E-5</v>
      </c>
      <c r="AN3" s="1">
        <v>1.7857142900000002E-5</v>
      </c>
      <c r="AO3" s="1">
        <v>2.0000000000000002E-5</v>
      </c>
      <c r="AP3" s="1">
        <v>5.0000000000000004E-6</v>
      </c>
      <c r="AQ3" s="1">
        <v>7.1428571399999998E-6</v>
      </c>
      <c r="AR3" s="1">
        <v>9.2857142899999998E-6</v>
      </c>
      <c r="AS3" s="1">
        <v>1.14285714E-5</v>
      </c>
      <c r="AT3" s="1">
        <v>1.35714286E-5</v>
      </c>
      <c r="AU3" s="1">
        <v>1.57142857E-5</v>
      </c>
      <c r="AV3" s="1">
        <v>1.7857142900000002E-5</v>
      </c>
      <c r="AW3" s="1">
        <v>2.0000000000000002E-5</v>
      </c>
      <c r="AX3" s="1">
        <v>5.0000000000000004E-6</v>
      </c>
      <c r="AY3" s="1">
        <v>7.1428571399999998E-6</v>
      </c>
      <c r="AZ3" s="1">
        <v>9.2857142899999998E-6</v>
      </c>
      <c r="BA3" s="1">
        <v>1.14285714E-5</v>
      </c>
      <c r="BB3" s="1">
        <v>1.35714286E-5</v>
      </c>
      <c r="BC3" s="1">
        <v>1.57142857E-5</v>
      </c>
      <c r="BD3" s="1">
        <v>1.7857142900000002E-5</v>
      </c>
      <c r="BE3" s="1">
        <v>2.0000000000000002E-5</v>
      </c>
      <c r="BF3" s="1">
        <v>5.0000000000000004E-6</v>
      </c>
      <c r="BG3" s="1">
        <v>7.1428571399999998E-6</v>
      </c>
      <c r="BH3" s="1">
        <v>9.2857142899999998E-6</v>
      </c>
      <c r="BI3" s="1">
        <v>1.14285714E-5</v>
      </c>
      <c r="BJ3" s="1">
        <v>1.35714286E-5</v>
      </c>
      <c r="BK3" s="1">
        <v>1.57142857E-5</v>
      </c>
      <c r="BL3" s="1">
        <v>1.7857142900000002E-5</v>
      </c>
      <c r="BM3" s="1">
        <v>2.0000000000000002E-5</v>
      </c>
    </row>
    <row r="4" spans="1:65" x14ac:dyDescent="0.3">
      <c r="B4" s="2">
        <v>-1.237776</v>
      </c>
      <c r="C4" s="2">
        <v>-1.2376940000000001</v>
      </c>
      <c r="D4" s="2">
        <v>-1.2373099999999999</v>
      </c>
      <c r="E4" s="2">
        <v>-1.2320340000000001</v>
      </c>
      <c r="F4" s="2">
        <v>-1.2368619999999999</v>
      </c>
      <c r="G4" s="3">
        <v>-1.2338210000000001</v>
      </c>
      <c r="H4" s="2">
        <v>-1.233506</v>
      </c>
      <c r="I4" s="2">
        <v>-1.2320180000000001</v>
      </c>
      <c r="K4" s="2">
        <v>-1.1968220000000001</v>
      </c>
      <c r="L4" s="2">
        <v>-1.196682</v>
      </c>
      <c r="M4" s="2">
        <v>-1.196056</v>
      </c>
      <c r="N4" s="2">
        <v>-1.192545</v>
      </c>
      <c r="O4" s="2">
        <v>-1.192545</v>
      </c>
      <c r="P4" s="2">
        <v>-1.1949669999999999</v>
      </c>
      <c r="Q4" s="2">
        <v>-1.19258</v>
      </c>
      <c r="T4" s="2">
        <v>-1.159319</v>
      </c>
      <c r="U4" s="2">
        <v>-1.1607400000000001</v>
      </c>
      <c r="V4" s="2">
        <v>-1.1591579999999999</v>
      </c>
      <c r="W4" s="2">
        <v>-1.1588259999999999</v>
      </c>
      <c r="X4" s="2">
        <v>-1.1564369999999999</v>
      </c>
      <c r="Y4" s="2">
        <v>-1.1564300000000001</v>
      </c>
      <c r="AB4" s="2">
        <v>-1.123259</v>
      </c>
      <c r="AC4" s="2">
        <v>-1.1229750000000001</v>
      </c>
      <c r="AD4" s="2">
        <v>-1.124131</v>
      </c>
      <c r="AE4" s="2">
        <v>-1.1230800000000001</v>
      </c>
      <c r="AF4" s="2">
        <v>-1.125907</v>
      </c>
      <c r="AG4" s="2">
        <v>-1.1229750000000001</v>
      </c>
      <c r="AJ4" s="2">
        <v>-1.093475</v>
      </c>
      <c r="AK4" s="2">
        <v>-1.0955870000000001</v>
      </c>
      <c r="AL4" s="2">
        <v>-1.097424</v>
      </c>
      <c r="AM4" s="2">
        <v>-1.093407</v>
      </c>
      <c r="AN4" s="2">
        <v>-1.0919669999999999</v>
      </c>
      <c r="AO4" s="2">
        <v>-1.0920859999999999</v>
      </c>
      <c r="AR4" s="2">
        <v>-1.063026</v>
      </c>
      <c r="AS4" s="2">
        <v>-1.06762</v>
      </c>
      <c r="AT4" s="2">
        <v>-1.063026</v>
      </c>
      <c r="AU4" s="2">
        <v>-1.0631930000000001</v>
      </c>
      <c r="AV4" s="2">
        <v>-1.066271</v>
      </c>
      <c r="AW4" s="2">
        <v>-1.0650010000000001</v>
      </c>
      <c r="AY4" s="2">
        <v>-1.0384659999999999</v>
      </c>
      <c r="AZ4" s="2">
        <v>-1.03826</v>
      </c>
      <c r="BA4" s="2">
        <v>-1.035893</v>
      </c>
      <c r="BB4">
        <v>-1.035893</v>
      </c>
      <c r="BG4" s="1">
        <v>-1.016176</v>
      </c>
      <c r="BH4" s="1">
        <v>-1.0106470000000001</v>
      </c>
    </row>
    <row r="5" spans="1:65" x14ac:dyDescent="0.3">
      <c r="B5" s="1">
        <f>10^B4</f>
        <v>5.7839429415021994E-2</v>
      </c>
      <c r="C5" s="1">
        <f t="shared" ref="C5:AW5" si="0">10^C4</f>
        <v>5.7850351223126206E-2</v>
      </c>
      <c r="D5" s="1">
        <f t="shared" si="0"/>
        <v>5.7901524700237836E-2</v>
      </c>
      <c r="E5" s="1">
        <f t="shared" si="0"/>
        <v>5.8609227878819871E-2</v>
      </c>
      <c r="F5" s="1">
        <f t="shared" si="0"/>
        <v>5.796128430575289E-2</v>
      </c>
      <c r="G5" s="1">
        <f t="shared" si="0"/>
        <v>5.8368562816577464E-2</v>
      </c>
      <c r="H5" s="1">
        <f t="shared" si="0"/>
        <v>5.8410913727113309E-2</v>
      </c>
      <c r="I5" s="1">
        <f t="shared" si="0"/>
        <v>5.8611387162345936E-2</v>
      </c>
      <c r="J5" s="1"/>
      <c r="K5" s="1">
        <f t="shared" si="0"/>
        <v>6.3559138205101437E-2</v>
      </c>
      <c r="L5" s="1">
        <f t="shared" si="0"/>
        <v>6.3579630553281891E-2</v>
      </c>
      <c r="M5" s="1">
        <f t="shared" si="0"/>
        <v>6.3671341475268012E-2</v>
      </c>
      <c r="N5" s="1">
        <f t="shared" si="0"/>
        <v>6.4188170863576574E-2</v>
      </c>
      <c r="O5" s="1">
        <f t="shared" si="0"/>
        <v>6.4188170863576574E-2</v>
      </c>
      <c r="P5" s="1">
        <f t="shared" si="0"/>
        <v>6.3831198668081485E-2</v>
      </c>
      <c r="Q5" s="1">
        <f t="shared" si="0"/>
        <v>6.4182998116628254E-2</v>
      </c>
      <c r="R5" s="1"/>
      <c r="S5" s="1"/>
      <c r="T5" s="1">
        <f t="shared" si="0"/>
        <v>6.929166546877942E-2</v>
      </c>
      <c r="U5" s="1">
        <f t="shared" si="0"/>
        <v>6.9065315488832851E-2</v>
      </c>
      <c r="V5" s="1">
        <f t="shared" si="0"/>
        <v>6.9317357773674315E-2</v>
      </c>
      <c r="W5" s="1">
        <f t="shared" si="0"/>
        <v>6.9370368259323176E-2</v>
      </c>
      <c r="X5" s="1">
        <f t="shared" si="0"/>
        <v>6.975301752657026E-2</v>
      </c>
      <c r="Y5" s="1">
        <f t="shared" si="0"/>
        <v>6.9754141821439394E-2</v>
      </c>
      <c r="Z5" s="1"/>
      <c r="AA5" s="1"/>
      <c r="AB5" s="1">
        <f t="shared" si="0"/>
        <v>7.529064193647278E-2</v>
      </c>
      <c r="AC5" s="1">
        <f t="shared" si="0"/>
        <v>7.5339893161420257E-2</v>
      </c>
      <c r="AD5" s="1">
        <f t="shared" si="0"/>
        <v>7.5139620969535761E-2</v>
      </c>
      <c r="AE5" s="1">
        <f t="shared" si="0"/>
        <v>7.5321680329115626E-2</v>
      </c>
      <c r="AF5" s="1">
        <f t="shared" si="0"/>
        <v>7.4832973099277125E-2</v>
      </c>
      <c r="AG5" s="1">
        <f t="shared" si="0"/>
        <v>7.5339893161420257E-2</v>
      </c>
      <c r="AH5" s="1"/>
      <c r="AI5" s="1"/>
      <c r="AJ5" s="1">
        <f t="shared" si="0"/>
        <v>8.0635261740666694E-2</v>
      </c>
      <c r="AK5" s="1">
        <f t="shared" si="0"/>
        <v>8.0244079589587666E-2</v>
      </c>
      <c r="AL5" s="1">
        <f t="shared" si="0"/>
        <v>7.990537610182763E-2</v>
      </c>
      <c r="AM5" s="1">
        <f t="shared" si="0"/>
        <v>8.0647888258656833E-2</v>
      </c>
      <c r="AN5" s="1">
        <f t="shared" si="0"/>
        <v>8.0915738091536335E-2</v>
      </c>
      <c r="AO5" s="1">
        <f t="shared" si="0"/>
        <v>8.0893569599537085E-2</v>
      </c>
      <c r="AP5" s="1"/>
      <c r="AQ5" s="1"/>
      <c r="AR5" s="1">
        <f t="shared" si="0"/>
        <v>8.6491613710759266E-2</v>
      </c>
      <c r="AS5" s="1">
        <f t="shared" si="0"/>
        <v>8.5581520856648885E-2</v>
      </c>
      <c r="AT5" s="1">
        <f t="shared" si="0"/>
        <v>8.6491613710759266E-2</v>
      </c>
      <c r="AU5" s="1">
        <f t="shared" si="0"/>
        <v>8.64583613362985E-2</v>
      </c>
      <c r="AV5" s="1">
        <f t="shared" si="0"/>
        <v>8.5847766379189977E-2</v>
      </c>
      <c r="AW5" s="1">
        <f t="shared" si="0"/>
        <v>8.6099176967550387E-2</v>
      </c>
      <c r="AX5" s="1"/>
      <c r="AY5" s="1">
        <v>9.1523889999999997E-2</v>
      </c>
      <c r="AZ5" s="1">
        <v>9.1567289999999996E-2</v>
      </c>
      <c r="BA5" s="1">
        <v>9.2067640000000006E-2</v>
      </c>
      <c r="BB5" s="1">
        <v>9.2067640000000006E-2</v>
      </c>
      <c r="BC5" s="1"/>
      <c r="BD5" s="1"/>
      <c r="BE5" s="1"/>
      <c r="BF5" s="1"/>
      <c r="BG5" s="1">
        <f>10^BG4</f>
        <v>9.6343850625067867E-2</v>
      </c>
      <c r="BH5" s="1">
        <f>10^BH4</f>
        <v>9.7578244367683836E-2</v>
      </c>
      <c r="BI5" s="1"/>
      <c r="BJ5" s="1"/>
      <c r="BK5" s="1"/>
      <c r="BL5" s="1"/>
      <c r="BM5" s="1"/>
    </row>
    <row r="6" spans="1:65" x14ac:dyDescent="0.3">
      <c r="B6">
        <f>_xlfn.RANK.AVG(B5,5:5)</f>
        <v>45</v>
      </c>
      <c r="C6">
        <f t="shared" ref="C6:BM6" si="1">_xlfn.RANK.AVG(C5,5:5)</f>
        <v>44</v>
      </c>
      <c r="D6">
        <f t="shared" si="1"/>
        <v>43</v>
      </c>
      <c r="E6">
        <f t="shared" si="1"/>
        <v>39</v>
      </c>
      <c r="F6">
        <f t="shared" si="1"/>
        <v>42</v>
      </c>
      <c r="G6">
        <f t="shared" si="1"/>
        <v>41</v>
      </c>
      <c r="H6">
        <f t="shared" si="1"/>
        <v>40</v>
      </c>
      <c r="I6">
        <f t="shared" si="1"/>
        <v>38</v>
      </c>
      <c r="J6" t="e">
        <f t="shared" si="1"/>
        <v>#N/A</v>
      </c>
      <c r="K6">
        <f t="shared" si="1"/>
        <v>37</v>
      </c>
      <c r="L6">
        <f t="shared" si="1"/>
        <v>36</v>
      </c>
      <c r="M6">
        <f t="shared" si="1"/>
        <v>35</v>
      </c>
      <c r="N6">
        <f t="shared" si="1"/>
        <v>31.5</v>
      </c>
      <c r="O6">
        <f t="shared" si="1"/>
        <v>31.5</v>
      </c>
      <c r="P6">
        <f t="shared" si="1"/>
        <v>34</v>
      </c>
      <c r="Q6">
        <f t="shared" si="1"/>
        <v>33</v>
      </c>
      <c r="R6" t="e">
        <f t="shared" si="1"/>
        <v>#N/A</v>
      </c>
      <c r="S6" t="e">
        <f t="shared" si="1"/>
        <v>#N/A</v>
      </c>
      <c r="T6">
        <f t="shared" si="1"/>
        <v>29</v>
      </c>
      <c r="U6">
        <f t="shared" si="1"/>
        <v>30</v>
      </c>
      <c r="V6">
        <f t="shared" si="1"/>
        <v>28</v>
      </c>
      <c r="W6">
        <f t="shared" si="1"/>
        <v>27</v>
      </c>
      <c r="X6">
        <f t="shared" si="1"/>
        <v>26</v>
      </c>
      <c r="Y6">
        <f t="shared" si="1"/>
        <v>25</v>
      </c>
      <c r="Z6" t="e">
        <f t="shared" si="1"/>
        <v>#N/A</v>
      </c>
      <c r="AA6" t="e">
        <f t="shared" si="1"/>
        <v>#N/A</v>
      </c>
      <c r="AB6">
        <f t="shared" si="1"/>
        <v>22</v>
      </c>
      <c r="AC6">
        <f t="shared" si="1"/>
        <v>19.5</v>
      </c>
      <c r="AD6">
        <f t="shared" si="1"/>
        <v>23</v>
      </c>
      <c r="AE6">
        <f t="shared" si="1"/>
        <v>21</v>
      </c>
      <c r="AF6">
        <f t="shared" si="1"/>
        <v>24</v>
      </c>
      <c r="AG6">
        <f t="shared" si="1"/>
        <v>19.5</v>
      </c>
      <c r="AH6" t="e">
        <f t="shared" si="1"/>
        <v>#N/A</v>
      </c>
      <c r="AI6" t="e">
        <f t="shared" si="1"/>
        <v>#N/A</v>
      </c>
      <c r="AJ6">
        <f t="shared" si="1"/>
        <v>16</v>
      </c>
      <c r="AK6">
        <f t="shared" si="1"/>
        <v>17</v>
      </c>
      <c r="AL6">
        <f t="shared" si="1"/>
        <v>18</v>
      </c>
      <c r="AM6">
        <f t="shared" si="1"/>
        <v>15</v>
      </c>
      <c r="AN6">
        <f t="shared" si="1"/>
        <v>13</v>
      </c>
      <c r="AO6">
        <f t="shared" si="1"/>
        <v>14</v>
      </c>
      <c r="AP6" t="e">
        <f t="shared" si="1"/>
        <v>#N/A</v>
      </c>
      <c r="AQ6" t="e">
        <f t="shared" si="1"/>
        <v>#N/A</v>
      </c>
      <c r="AR6">
        <f t="shared" si="1"/>
        <v>7.5</v>
      </c>
      <c r="AS6">
        <f t="shared" si="1"/>
        <v>12</v>
      </c>
      <c r="AT6">
        <f t="shared" si="1"/>
        <v>7.5</v>
      </c>
      <c r="AU6">
        <f t="shared" si="1"/>
        <v>9</v>
      </c>
      <c r="AV6">
        <f t="shared" si="1"/>
        <v>11</v>
      </c>
      <c r="AW6">
        <f t="shared" si="1"/>
        <v>10</v>
      </c>
      <c r="AX6" t="e">
        <f t="shared" si="1"/>
        <v>#N/A</v>
      </c>
      <c r="AY6">
        <f t="shared" si="1"/>
        <v>6</v>
      </c>
      <c r="AZ6">
        <f t="shared" si="1"/>
        <v>5</v>
      </c>
      <c r="BA6">
        <f t="shared" si="1"/>
        <v>3.5</v>
      </c>
      <c r="BB6">
        <f t="shared" si="1"/>
        <v>3.5</v>
      </c>
      <c r="BC6" t="e">
        <f t="shared" si="1"/>
        <v>#N/A</v>
      </c>
      <c r="BD6" t="e">
        <f t="shared" si="1"/>
        <v>#N/A</v>
      </c>
      <c r="BE6" t="e">
        <f t="shared" si="1"/>
        <v>#N/A</v>
      </c>
      <c r="BF6" t="e">
        <f t="shared" si="1"/>
        <v>#N/A</v>
      </c>
      <c r="BG6">
        <f t="shared" si="1"/>
        <v>2</v>
      </c>
      <c r="BH6">
        <f t="shared" si="1"/>
        <v>1</v>
      </c>
      <c r="BI6" t="e">
        <f t="shared" si="1"/>
        <v>#N/A</v>
      </c>
      <c r="BJ6" t="e">
        <f t="shared" si="1"/>
        <v>#N/A</v>
      </c>
      <c r="BK6" t="e">
        <f t="shared" si="1"/>
        <v>#N/A</v>
      </c>
      <c r="BL6" t="e">
        <f t="shared" si="1"/>
        <v>#N/A</v>
      </c>
      <c r="BM6" t="e">
        <f t="shared" si="1"/>
        <v>#N/A</v>
      </c>
    </row>
    <row r="7" spans="1:65" x14ac:dyDescent="0.3">
      <c r="A7" t="s">
        <v>1</v>
      </c>
    </row>
    <row r="8" spans="1:65" x14ac:dyDescent="0.3">
      <c r="A8" t="s">
        <v>4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1.64285714</v>
      </c>
      <c r="K8">
        <v>1.64285714</v>
      </c>
      <c r="L8">
        <v>1.64285714</v>
      </c>
      <c r="M8">
        <v>1.64285714</v>
      </c>
      <c r="N8">
        <v>1.64285714</v>
      </c>
      <c r="O8">
        <v>1.64285714</v>
      </c>
      <c r="P8">
        <v>1.64285714</v>
      </c>
      <c r="Q8">
        <v>1.64285714</v>
      </c>
      <c r="R8">
        <v>1.78571429</v>
      </c>
      <c r="S8">
        <v>1.78571429</v>
      </c>
      <c r="T8">
        <v>1.78571429</v>
      </c>
      <c r="U8">
        <v>1.78571429</v>
      </c>
      <c r="V8">
        <v>1.78571429</v>
      </c>
      <c r="W8">
        <v>1.78571429</v>
      </c>
      <c r="X8">
        <v>1.78571429</v>
      </c>
      <c r="Y8">
        <v>1.78571429</v>
      </c>
      <c r="Z8">
        <v>1.9285714300000001</v>
      </c>
      <c r="AA8">
        <v>1.9285714300000001</v>
      </c>
      <c r="AB8">
        <v>1.9285714300000001</v>
      </c>
      <c r="AC8">
        <v>1.9285714300000001</v>
      </c>
      <c r="AD8">
        <v>1.9285714300000001</v>
      </c>
      <c r="AE8">
        <v>1.9285714300000001</v>
      </c>
      <c r="AF8">
        <v>1.9285714300000001</v>
      </c>
      <c r="AG8">
        <v>1.9285714300000001</v>
      </c>
      <c r="AH8">
        <v>2.0714285700000001</v>
      </c>
      <c r="AI8">
        <v>2.0714285700000001</v>
      </c>
      <c r="AJ8">
        <v>2.0714285700000001</v>
      </c>
      <c r="AK8">
        <v>2.0714285700000001</v>
      </c>
      <c r="AL8">
        <v>2.0714285700000001</v>
      </c>
      <c r="AM8">
        <v>2.0714285700000001</v>
      </c>
      <c r="AN8">
        <v>2.0714285700000001</v>
      </c>
      <c r="AO8">
        <v>2.0714285700000001</v>
      </c>
      <c r="AP8">
        <v>2.21428571</v>
      </c>
      <c r="AQ8">
        <v>2.21428571</v>
      </c>
      <c r="AR8">
        <v>2.21428571</v>
      </c>
      <c r="AS8">
        <v>2.21428571</v>
      </c>
      <c r="AT8">
        <v>2.21428571</v>
      </c>
      <c r="AU8">
        <v>2.21428571</v>
      </c>
      <c r="AV8">
        <v>2.21428571</v>
      </c>
      <c r="AW8">
        <v>2.21428571</v>
      </c>
      <c r="AX8">
        <v>2.3571428600000002</v>
      </c>
      <c r="AY8">
        <v>2.3571428600000002</v>
      </c>
      <c r="AZ8">
        <v>2.3571428600000002</v>
      </c>
      <c r="BA8">
        <v>2.3571428600000002</v>
      </c>
      <c r="BB8">
        <v>2.3571428600000002</v>
      </c>
      <c r="BC8">
        <v>2.3571428600000002</v>
      </c>
      <c r="BD8">
        <v>2.3571428600000002</v>
      </c>
      <c r="BE8">
        <v>2.3571428600000002</v>
      </c>
      <c r="BF8">
        <v>2.5</v>
      </c>
      <c r="BG8">
        <v>2.5</v>
      </c>
      <c r="BH8">
        <v>2.5</v>
      </c>
      <c r="BI8">
        <v>2.5</v>
      </c>
      <c r="BJ8">
        <v>2.5</v>
      </c>
      <c r="BK8">
        <v>2.5</v>
      </c>
      <c r="BL8">
        <v>2.5</v>
      </c>
      <c r="BM8">
        <v>2.5</v>
      </c>
    </row>
    <row r="9" spans="1:65" x14ac:dyDescent="0.3">
      <c r="A9" t="s">
        <v>5</v>
      </c>
      <c r="B9" s="1">
        <v>5.0000000000000004E-6</v>
      </c>
      <c r="C9" s="1">
        <v>7.1428571399999998E-6</v>
      </c>
      <c r="D9" s="1">
        <v>9.2857142899999998E-6</v>
      </c>
      <c r="E9" s="1">
        <v>1.14285714E-5</v>
      </c>
      <c r="F9" s="1">
        <v>1.35714286E-5</v>
      </c>
      <c r="G9" s="1">
        <v>1.57142857E-5</v>
      </c>
      <c r="H9" s="1">
        <v>1.7857142900000002E-5</v>
      </c>
      <c r="I9" s="1">
        <v>2.0000000000000002E-5</v>
      </c>
      <c r="J9" s="1">
        <v>5.0000000000000004E-6</v>
      </c>
      <c r="K9" s="1">
        <v>7.1428571399999998E-6</v>
      </c>
      <c r="L9" s="1">
        <v>9.2857142899999998E-6</v>
      </c>
      <c r="M9" s="1">
        <v>1.14285714E-5</v>
      </c>
      <c r="N9" s="1">
        <v>1.35714286E-5</v>
      </c>
      <c r="O9" s="1">
        <v>1.57142857E-5</v>
      </c>
      <c r="P9" s="1">
        <v>1.7857142900000002E-5</v>
      </c>
      <c r="Q9" s="1">
        <v>2.0000000000000002E-5</v>
      </c>
      <c r="R9" s="1">
        <v>5.0000000000000004E-6</v>
      </c>
      <c r="S9" s="1">
        <v>7.1428571399999998E-6</v>
      </c>
      <c r="T9" s="1">
        <v>9.2857142899999998E-6</v>
      </c>
      <c r="U9" s="1">
        <v>1.14285714E-5</v>
      </c>
      <c r="V9" s="1">
        <v>1.35714286E-5</v>
      </c>
      <c r="W9" s="1">
        <v>1.57142857E-5</v>
      </c>
      <c r="X9" s="1">
        <v>1.7857142900000002E-5</v>
      </c>
      <c r="Y9" s="1">
        <v>2.0000000000000002E-5</v>
      </c>
      <c r="Z9" s="1">
        <v>5.0000000000000004E-6</v>
      </c>
      <c r="AA9" s="1">
        <v>7.1428571399999998E-6</v>
      </c>
      <c r="AB9" s="1">
        <v>9.2857142899999998E-6</v>
      </c>
      <c r="AC9" s="1">
        <v>1.14285714E-5</v>
      </c>
      <c r="AD9" s="1">
        <v>1.35714286E-5</v>
      </c>
      <c r="AE9" s="1">
        <v>1.57142857E-5</v>
      </c>
      <c r="AF9" s="1">
        <v>1.7857142900000002E-5</v>
      </c>
      <c r="AG9" s="1">
        <v>2.0000000000000002E-5</v>
      </c>
      <c r="AH9" s="1">
        <v>5.0000000000000004E-6</v>
      </c>
      <c r="AI9" s="1">
        <v>7.1428571399999998E-6</v>
      </c>
      <c r="AJ9" s="1">
        <v>9.2857142899999998E-6</v>
      </c>
      <c r="AK9" s="1">
        <v>1.14285714E-5</v>
      </c>
      <c r="AL9" s="1">
        <v>1.35714286E-5</v>
      </c>
      <c r="AM9" s="1">
        <v>1.57142857E-5</v>
      </c>
      <c r="AN9" s="1">
        <v>1.7857142900000002E-5</v>
      </c>
      <c r="AO9" s="1">
        <v>2.0000000000000002E-5</v>
      </c>
      <c r="AP9" s="1">
        <v>5.0000000000000004E-6</v>
      </c>
      <c r="AQ9" s="1">
        <v>7.1428571399999998E-6</v>
      </c>
      <c r="AR9" s="1">
        <v>9.2857142899999998E-6</v>
      </c>
      <c r="AS9" s="1">
        <v>1.14285714E-5</v>
      </c>
      <c r="AT9" s="1">
        <v>1.35714286E-5</v>
      </c>
      <c r="AU9" s="1">
        <v>1.57142857E-5</v>
      </c>
      <c r="AV9" s="1">
        <v>1.7857142900000002E-5</v>
      </c>
      <c r="AW9" s="1">
        <v>2.0000000000000002E-5</v>
      </c>
      <c r="AX9" s="1">
        <v>5.0000000000000004E-6</v>
      </c>
      <c r="AY9" s="1">
        <v>7.1428571399999998E-6</v>
      </c>
      <c r="AZ9" s="1">
        <v>9.2857142899999998E-6</v>
      </c>
      <c r="BA9" s="1">
        <v>1.14285714E-5</v>
      </c>
      <c r="BB9" s="1">
        <v>1.35714286E-5</v>
      </c>
      <c r="BC9" s="1">
        <v>1.57142857E-5</v>
      </c>
      <c r="BD9" s="1">
        <v>1.7857142900000002E-5</v>
      </c>
      <c r="BE9" s="1">
        <v>2.0000000000000002E-5</v>
      </c>
      <c r="BF9" s="1">
        <v>5.0000000000000004E-6</v>
      </c>
      <c r="BG9" s="1">
        <v>7.1428571399999998E-6</v>
      </c>
      <c r="BH9" s="1">
        <v>9.2857142899999998E-6</v>
      </c>
      <c r="BI9" s="1">
        <v>1.14285714E-5</v>
      </c>
      <c r="BJ9" s="1">
        <v>1.35714286E-5</v>
      </c>
      <c r="BK9" s="1">
        <v>1.57142857E-5</v>
      </c>
      <c r="BL9" s="1">
        <v>1.7857142900000002E-5</v>
      </c>
      <c r="BM9" s="1">
        <v>2.0000000000000002E-5</v>
      </c>
    </row>
    <row r="10" spans="1:65" x14ac:dyDescent="0.3">
      <c r="B10" s="2">
        <v>0.30173329999999998</v>
      </c>
      <c r="C10" s="2">
        <v>0.30173329999999998</v>
      </c>
      <c r="D10" s="2">
        <v>0.30173329999999998</v>
      </c>
      <c r="E10" s="2">
        <v>0.30173329999999998</v>
      </c>
      <c r="F10" s="2">
        <v>0.30173329999999998</v>
      </c>
      <c r="G10" s="2">
        <v>0.30173329999999998</v>
      </c>
      <c r="H10" s="2">
        <v>0.30173329999999998</v>
      </c>
      <c r="I10" s="2">
        <v>0.30173329999999998</v>
      </c>
      <c r="J10" s="2">
        <v>0.34747719999999999</v>
      </c>
      <c r="K10" s="2">
        <v>0.34747719999999999</v>
      </c>
      <c r="L10" s="2">
        <v>0.34747719999999999</v>
      </c>
      <c r="M10" s="2">
        <v>0.34747719999999999</v>
      </c>
      <c r="N10" s="2">
        <v>0.34747719999999999</v>
      </c>
      <c r="O10" s="2">
        <v>0.34747719999999999</v>
      </c>
      <c r="P10" s="2">
        <v>0.34747719999999999</v>
      </c>
      <c r="Q10" s="2">
        <v>0.34747719999999999</v>
      </c>
      <c r="R10" s="2">
        <v>0.38655460000000003</v>
      </c>
      <c r="S10" s="2">
        <v>0.38655460000000003</v>
      </c>
      <c r="T10" s="2">
        <v>0.38655469999999997</v>
      </c>
      <c r="U10" s="2">
        <v>0.38655460000000003</v>
      </c>
      <c r="V10" s="2">
        <v>0.38655460000000003</v>
      </c>
      <c r="W10" s="2">
        <v>0.38655460000000003</v>
      </c>
      <c r="X10" s="2">
        <v>0.38655460000000003</v>
      </c>
      <c r="Y10" s="2">
        <v>0.38655460000000003</v>
      </c>
      <c r="Z10" s="2">
        <v>0.42238340000000002</v>
      </c>
      <c r="AA10" s="2">
        <v>0.42238340000000002</v>
      </c>
      <c r="AB10" s="2">
        <v>0.42238340000000002</v>
      </c>
      <c r="AC10" s="2">
        <v>0.42238340000000002</v>
      </c>
      <c r="AD10" s="2">
        <v>0.42238340000000002</v>
      </c>
      <c r="AE10" s="2">
        <v>0.42238350000000002</v>
      </c>
      <c r="AF10" s="2">
        <v>0.42238340000000002</v>
      </c>
      <c r="AG10" s="2">
        <v>0.42238340000000002</v>
      </c>
      <c r="AH10" s="2">
        <v>0.45584540000000001</v>
      </c>
      <c r="AI10" s="2">
        <v>0.45584540000000001</v>
      </c>
      <c r="AJ10" s="2">
        <v>0.45584540000000001</v>
      </c>
      <c r="AK10" s="2">
        <v>0.45584540000000001</v>
      </c>
      <c r="AL10" s="2">
        <v>0.45584540000000001</v>
      </c>
      <c r="AM10" s="2">
        <v>0.45584540000000001</v>
      </c>
      <c r="AN10" s="2">
        <v>0.45584540000000001</v>
      </c>
      <c r="AO10" s="2">
        <v>0.45584540000000001</v>
      </c>
      <c r="AP10" s="2">
        <v>0.49525960000000002</v>
      </c>
      <c r="AQ10" s="2">
        <v>0.48722349999999998</v>
      </c>
      <c r="AR10" s="2">
        <v>0.48722349999999998</v>
      </c>
      <c r="AS10" s="2">
        <v>0.48722349999999998</v>
      </c>
      <c r="AT10" s="2">
        <v>0.48722349999999998</v>
      </c>
      <c r="AU10" s="2">
        <v>0.48722349999999998</v>
      </c>
      <c r="AV10" s="2">
        <v>0.48722349999999998</v>
      </c>
      <c r="AW10" s="2">
        <v>0.48722349999999998</v>
      </c>
      <c r="AX10" s="2">
        <v>0.5237368</v>
      </c>
      <c r="AY10" s="2">
        <v>0.51656040000000003</v>
      </c>
      <c r="AZ10" s="2">
        <v>0.51656049999999998</v>
      </c>
      <c r="BA10" s="2">
        <v>0.51656060000000004</v>
      </c>
      <c r="BB10" s="2">
        <v>0.51656049999999998</v>
      </c>
      <c r="BC10" s="2">
        <v>0.51656049999999998</v>
      </c>
      <c r="BD10" s="2">
        <v>0.51656049999999998</v>
      </c>
      <c r="BE10" s="2">
        <v>0.51656049999999998</v>
      </c>
      <c r="BF10" s="2">
        <v>0.5504</v>
      </c>
      <c r="BG10" s="2">
        <v>0.54312000000000005</v>
      </c>
      <c r="BH10" s="2">
        <v>0.54311989999999999</v>
      </c>
      <c r="BI10" s="2">
        <v>0.54312000000000005</v>
      </c>
      <c r="BJ10" s="2">
        <v>0.54312000000000005</v>
      </c>
      <c r="BK10" s="2">
        <v>0.54312000000000005</v>
      </c>
      <c r="BL10" s="2">
        <v>0.54311989999999999</v>
      </c>
      <c r="BM10" s="2">
        <v>0.54312000000000005</v>
      </c>
    </row>
    <row r="11" spans="1:65" x14ac:dyDescent="0.3">
      <c r="B11">
        <f>_xlfn.RANK.AVG(B10,10:10)</f>
        <v>60.5</v>
      </c>
      <c r="C11">
        <f t="shared" ref="C11:BM11" si="2">_xlfn.RANK.AVG(C10,10:10)</f>
        <v>60.5</v>
      </c>
      <c r="D11">
        <f t="shared" si="2"/>
        <v>60.5</v>
      </c>
      <c r="E11">
        <f t="shared" si="2"/>
        <v>60.5</v>
      </c>
      <c r="F11">
        <f t="shared" si="2"/>
        <v>60.5</v>
      </c>
      <c r="G11">
        <f t="shared" si="2"/>
        <v>60.5</v>
      </c>
      <c r="H11">
        <f t="shared" si="2"/>
        <v>60.5</v>
      </c>
      <c r="I11">
        <f t="shared" si="2"/>
        <v>60.5</v>
      </c>
      <c r="J11">
        <f t="shared" si="2"/>
        <v>52.5</v>
      </c>
      <c r="K11">
        <f t="shared" si="2"/>
        <v>52.5</v>
      </c>
      <c r="L11">
        <f t="shared" si="2"/>
        <v>52.5</v>
      </c>
      <c r="M11">
        <f t="shared" si="2"/>
        <v>52.5</v>
      </c>
      <c r="N11">
        <f t="shared" si="2"/>
        <v>52.5</v>
      </c>
      <c r="O11">
        <f t="shared" si="2"/>
        <v>52.5</v>
      </c>
      <c r="P11">
        <f t="shared" si="2"/>
        <v>52.5</v>
      </c>
      <c r="Q11">
        <f t="shared" si="2"/>
        <v>52.5</v>
      </c>
      <c r="R11">
        <f t="shared" si="2"/>
        <v>45</v>
      </c>
      <c r="S11">
        <f t="shared" si="2"/>
        <v>45</v>
      </c>
      <c r="T11">
        <f t="shared" si="2"/>
        <v>41</v>
      </c>
      <c r="U11">
        <f t="shared" si="2"/>
        <v>45</v>
      </c>
      <c r="V11">
        <f t="shared" si="2"/>
        <v>45</v>
      </c>
      <c r="W11">
        <f t="shared" si="2"/>
        <v>45</v>
      </c>
      <c r="X11">
        <f t="shared" si="2"/>
        <v>45</v>
      </c>
      <c r="Y11">
        <f t="shared" si="2"/>
        <v>45</v>
      </c>
      <c r="Z11">
        <f t="shared" si="2"/>
        <v>37</v>
      </c>
      <c r="AA11">
        <f t="shared" si="2"/>
        <v>37</v>
      </c>
      <c r="AB11">
        <f t="shared" si="2"/>
        <v>37</v>
      </c>
      <c r="AC11">
        <f t="shared" si="2"/>
        <v>37</v>
      </c>
      <c r="AD11">
        <f t="shared" si="2"/>
        <v>37</v>
      </c>
      <c r="AE11">
        <f t="shared" si="2"/>
        <v>33</v>
      </c>
      <c r="AF11">
        <f t="shared" si="2"/>
        <v>37</v>
      </c>
      <c r="AG11">
        <f t="shared" si="2"/>
        <v>37</v>
      </c>
      <c r="AH11">
        <f t="shared" si="2"/>
        <v>28.5</v>
      </c>
      <c r="AI11">
        <f t="shared" si="2"/>
        <v>28.5</v>
      </c>
      <c r="AJ11">
        <f t="shared" si="2"/>
        <v>28.5</v>
      </c>
      <c r="AK11">
        <f t="shared" si="2"/>
        <v>28.5</v>
      </c>
      <c r="AL11">
        <f t="shared" si="2"/>
        <v>28.5</v>
      </c>
      <c r="AM11">
        <f t="shared" si="2"/>
        <v>28.5</v>
      </c>
      <c r="AN11">
        <f t="shared" si="2"/>
        <v>28.5</v>
      </c>
      <c r="AO11">
        <f t="shared" si="2"/>
        <v>28.5</v>
      </c>
      <c r="AP11">
        <f t="shared" si="2"/>
        <v>17</v>
      </c>
      <c r="AQ11">
        <f t="shared" si="2"/>
        <v>21</v>
      </c>
      <c r="AR11">
        <f t="shared" si="2"/>
        <v>21</v>
      </c>
      <c r="AS11">
        <f t="shared" si="2"/>
        <v>21</v>
      </c>
      <c r="AT11">
        <f t="shared" si="2"/>
        <v>21</v>
      </c>
      <c r="AU11">
        <f t="shared" si="2"/>
        <v>21</v>
      </c>
      <c r="AV11">
        <f t="shared" si="2"/>
        <v>21</v>
      </c>
      <c r="AW11">
        <f t="shared" si="2"/>
        <v>21</v>
      </c>
      <c r="AX11">
        <f t="shared" si="2"/>
        <v>9</v>
      </c>
      <c r="AY11">
        <f t="shared" si="2"/>
        <v>16</v>
      </c>
      <c r="AZ11">
        <f t="shared" si="2"/>
        <v>13</v>
      </c>
      <c r="BA11">
        <f t="shared" si="2"/>
        <v>10</v>
      </c>
      <c r="BB11">
        <f t="shared" si="2"/>
        <v>13</v>
      </c>
      <c r="BC11">
        <f t="shared" si="2"/>
        <v>13</v>
      </c>
      <c r="BD11">
        <f t="shared" si="2"/>
        <v>13</v>
      </c>
      <c r="BE11">
        <f t="shared" si="2"/>
        <v>13</v>
      </c>
      <c r="BF11">
        <f t="shared" si="2"/>
        <v>1</v>
      </c>
      <c r="BG11">
        <f t="shared" si="2"/>
        <v>4</v>
      </c>
      <c r="BH11">
        <f t="shared" si="2"/>
        <v>7.5</v>
      </c>
      <c r="BI11">
        <f t="shared" si="2"/>
        <v>4</v>
      </c>
      <c r="BJ11">
        <f t="shared" si="2"/>
        <v>4</v>
      </c>
      <c r="BK11">
        <f t="shared" si="2"/>
        <v>4</v>
      </c>
      <c r="BL11">
        <f t="shared" si="2"/>
        <v>7.5</v>
      </c>
      <c r="BM11">
        <f t="shared" si="2"/>
        <v>4</v>
      </c>
    </row>
    <row r="13" spans="1:65" x14ac:dyDescent="0.3">
      <c r="A13" t="s">
        <v>2</v>
      </c>
    </row>
    <row r="14" spans="1:65" x14ac:dyDescent="0.3">
      <c r="A14" t="s">
        <v>4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1.64285714</v>
      </c>
      <c r="K14">
        <v>1.64285714</v>
      </c>
      <c r="L14">
        <v>1.64285714</v>
      </c>
      <c r="M14">
        <v>1.64285714</v>
      </c>
      <c r="N14">
        <v>1.64285714</v>
      </c>
      <c r="O14">
        <v>1.64285714</v>
      </c>
      <c r="P14">
        <v>1.64285714</v>
      </c>
      <c r="Q14">
        <v>1.64285714</v>
      </c>
      <c r="R14">
        <v>1.78571429</v>
      </c>
      <c r="S14">
        <v>1.78571429</v>
      </c>
      <c r="T14">
        <v>1.78571429</v>
      </c>
      <c r="U14">
        <v>1.78571429</v>
      </c>
      <c r="V14">
        <v>1.78571429</v>
      </c>
      <c r="W14">
        <v>1.78571429</v>
      </c>
      <c r="X14">
        <v>1.78571429</v>
      </c>
      <c r="Y14">
        <v>1.78571429</v>
      </c>
      <c r="Z14">
        <v>1.9285714300000001</v>
      </c>
      <c r="AA14">
        <v>1.9285714300000001</v>
      </c>
      <c r="AB14">
        <v>1.9285714300000001</v>
      </c>
      <c r="AC14">
        <v>1.9285714300000001</v>
      </c>
      <c r="AD14">
        <v>1.9285714300000001</v>
      </c>
      <c r="AE14">
        <v>1.9285714300000001</v>
      </c>
      <c r="AF14">
        <v>1.9285714300000001</v>
      </c>
      <c r="AG14">
        <v>1.9285714300000001</v>
      </c>
      <c r="AH14">
        <v>2.0714285700000001</v>
      </c>
      <c r="AI14">
        <v>2.0714285700000001</v>
      </c>
      <c r="AJ14">
        <v>2.0714285700000001</v>
      </c>
      <c r="AK14">
        <v>2.0714285700000001</v>
      </c>
      <c r="AL14">
        <v>2.0714285700000001</v>
      </c>
      <c r="AM14">
        <v>2.0714285700000001</v>
      </c>
      <c r="AN14">
        <v>2.0714285700000001</v>
      </c>
      <c r="AO14">
        <v>2.0714285700000001</v>
      </c>
      <c r="AP14">
        <v>2.21428571</v>
      </c>
      <c r="AQ14">
        <v>2.21428571</v>
      </c>
      <c r="AR14">
        <v>2.21428571</v>
      </c>
      <c r="AS14">
        <v>2.21428571</v>
      </c>
      <c r="AT14">
        <v>2.21428571</v>
      </c>
      <c r="AU14">
        <v>2.21428571</v>
      </c>
      <c r="AV14">
        <v>2.21428571</v>
      </c>
      <c r="AW14">
        <v>2.21428571</v>
      </c>
      <c r="AX14">
        <v>2.3571428600000002</v>
      </c>
      <c r="AY14">
        <v>2.3571428600000002</v>
      </c>
      <c r="AZ14">
        <v>2.3571428600000002</v>
      </c>
      <c r="BA14">
        <v>2.3571428600000002</v>
      </c>
      <c r="BB14">
        <v>2.3571428600000002</v>
      </c>
      <c r="BC14">
        <v>2.3571428600000002</v>
      </c>
      <c r="BD14">
        <v>2.3571428600000002</v>
      </c>
      <c r="BE14">
        <v>2.3571428600000002</v>
      </c>
      <c r="BF14">
        <v>2.5</v>
      </c>
      <c r="BG14">
        <v>2.5</v>
      </c>
      <c r="BH14">
        <v>2.5</v>
      </c>
      <c r="BI14">
        <v>2.5</v>
      </c>
      <c r="BJ14">
        <v>2.5</v>
      </c>
      <c r="BK14">
        <v>2.5</v>
      </c>
      <c r="BL14">
        <v>2.5</v>
      </c>
      <c r="BM14">
        <v>2.5</v>
      </c>
    </row>
    <row r="15" spans="1:65" x14ac:dyDescent="0.3">
      <c r="A15" t="s">
        <v>5</v>
      </c>
      <c r="B15" s="1">
        <v>5.0000000000000004E-6</v>
      </c>
      <c r="C15" s="1">
        <v>7.1428571399999998E-6</v>
      </c>
      <c r="D15" s="1">
        <v>9.2857142899999998E-6</v>
      </c>
      <c r="E15" s="1">
        <v>1.14285714E-5</v>
      </c>
      <c r="F15" s="1">
        <v>1.35714286E-5</v>
      </c>
      <c r="G15" s="1">
        <v>1.57142857E-5</v>
      </c>
      <c r="H15" s="1">
        <v>1.7857142900000002E-5</v>
      </c>
      <c r="I15" s="1">
        <v>2.0000000000000002E-5</v>
      </c>
      <c r="J15" s="1">
        <v>5.0000000000000004E-6</v>
      </c>
      <c r="K15" s="1">
        <v>7.1428571399999998E-6</v>
      </c>
      <c r="L15" s="1">
        <v>9.2857142899999998E-6</v>
      </c>
      <c r="M15" s="1">
        <v>1.14285714E-5</v>
      </c>
      <c r="N15" s="1">
        <v>1.35714286E-5</v>
      </c>
      <c r="O15" s="1">
        <v>1.57142857E-5</v>
      </c>
      <c r="P15" s="1">
        <v>1.7857142900000002E-5</v>
      </c>
      <c r="Q15" s="1">
        <v>2.0000000000000002E-5</v>
      </c>
      <c r="R15" s="1">
        <v>5.0000000000000004E-6</v>
      </c>
      <c r="S15" s="1">
        <v>7.1428571399999998E-6</v>
      </c>
      <c r="T15" s="1">
        <v>9.2857142899999998E-6</v>
      </c>
      <c r="U15" s="1">
        <v>1.14285714E-5</v>
      </c>
      <c r="V15" s="1">
        <v>1.35714286E-5</v>
      </c>
      <c r="W15" s="1">
        <v>1.57142857E-5</v>
      </c>
      <c r="X15" s="1">
        <v>1.7857142900000002E-5</v>
      </c>
      <c r="Y15" s="1">
        <v>2.0000000000000002E-5</v>
      </c>
      <c r="Z15" s="1">
        <v>5.0000000000000004E-6</v>
      </c>
      <c r="AA15" s="1">
        <v>7.1428571399999998E-6</v>
      </c>
      <c r="AB15" s="1">
        <v>9.2857142899999998E-6</v>
      </c>
      <c r="AC15" s="1">
        <v>1.14285714E-5</v>
      </c>
      <c r="AD15" s="1">
        <v>1.35714286E-5</v>
      </c>
      <c r="AE15" s="1">
        <v>1.57142857E-5</v>
      </c>
      <c r="AF15" s="1">
        <v>1.7857142900000002E-5</v>
      </c>
      <c r="AG15" s="1">
        <v>2.0000000000000002E-5</v>
      </c>
      <c r="AH15" s="1">
        <v>5.0000000000000004E-6</v>
      </c>
      <c r="AI15" s="1">
        <v>7.1428571399999998E-6</v>
      </c>
      <c r="AJ15" s="1">
        <v>9.2857142899999998E-6</v>
      </c>
      <c r="AK15" s="1">
        <v>1.14285714E-5</v>
      </c>
      <c r="AL15" s="1">
        <v>1.35714286E-5</v>
      </c>
      <c r="AM15" s="1">
        <v>1.57142857E-5</v>
      </c>
      <c r="AN15" s="1">
        <v>1.7857142900000002E-5</v>
      </c>
      <c r="AO15" s="1">
        <v>2.0000000000000002E-5</v>
      </c>
      <c r="AP15" s="1">
        <v>5.0000000000000004E-6</v>
      </c>
      <c r="AQ15" s="1">
        <v>7.1428571399999998E-6</v>
      </c>
      <c r="AR15" s="1">
        <v>9.2857142899999998E-6</v>
      </c>
      <c r="AS15" s="1">
        <v>1.14285714E-5</v>
      </c>
      <c r="AT15" s="1">
        <v>1.35714286E-5</v>
      </c>
      <c r="AU15" s="1">
        <v>1.57142857E-5</v>
      </c>
      <c r="AV15" s="1">
        <v>1.7857142900000002E-5</v>
      </c>
      <c r="AW15" s="1">
        <v>2.0000000000000002E-5</v>
      </c>
      <c r="AX15" s="1">
        <v>5.0000000000000004E-6</v>
      </c>
      <c r="AY15" s="1">
        <v>7.1428571399999998E-6</v>
      </c>
      <c r="AZ15" s="1">
        <v>9.2857142899999998E-6</v>
      </c>
      <c r="BA15" s="1">
        <v>1.14285714E-5</v>
      </c>
      <c r="BB15" s="1">
        <v>1.35714286E-5</v>
      </c>
      <c r="BC15" s="1">
        <v>1.57142857E-5</v>
      </c>
      <c r="BD15" s="1">
        <v>1.7857142900000002E-5</v>
      </c>
      <c r="BE15" s="1">
        <v>2.0000000000000002E-5</v>
      </c>
      <c r="BF15" s="1">
        <v>5.0000000000000004E-6</v>
      </c>
      <c r="BG15" s="1">
        <v>7.1428571399999998E-6</v>
      </c>
      <c r="BH15" s="1">
        <v>9.2857142899999998E-6</v>
      </c>
      <c r="BI15" s="1">
        <v>1.14285714E-5</v>
      </c>
      <c r="BJ15" s="1">
        <v>1.35714286E-5</v>
      </c>
      <c r="BK15" s="1">
        <v>1.57142857E-5</v>
      </c>
      <c r="BL15" s="1">
        <v>1.7857142900000002E-5</v>
      </c>
      <c r="BM15" s="1">
        <v>2.0000000000000002E-5</v>
      </c>
    </row>
    <row r="16" spans="1:65" x14ac:dyDescent="0.3">
      <c r="B16" s="2">
        <v>0.33160869999999998</v>
      </c>
      <c r="C16" s="2">
        <v>0.33160879999999998</v>
      </c>
      <c r="D16" s="2">
        <v>0.33160889999999998</v>
      </c>
      <c r="E16" s="2">
        <v>0.33160909999999999</v>
      </c>
      <c r="F16" s="2">
        <v>0.33160919999999999</v>
      </c>
      <c r="G16" s="2">
        <v>0.3316095</v>
      </c>
      <c r="H16" s="2">
        <v>0.33160970000000001</v>
      </c>
      <c r="I16" s="2">
        <v>0.33161000000000002</v>
      </c>
      <c r="J16" s="2">
        <v>0.30842730000000002</v>
      </c>
      <c r="K16" s="2">
        <v>0.30842740000000002</v>
      </c>
      <c r="L16" s="2">
        <v>0.30842750000000002</v>
      </c>
      <c r="M16" s="2">
        <v>0.30842770000000003</v>
      </c>
      <c r="N16" s="2">
        <v>0.30842799999999998</v>
      </c>
      <c r="O16" s="2">
        <v>0.30842819999999999</v>
      </c>
      <c r="P16" s="2">
        <v>0.30842849999999999</v>
      </c>
      <c r="Q16" s="2">
        <v>0.3084287</v>
      </c>
      <c r="R16" s="2">
        <v>0.25843769999999999</v>
      </c>
      <c r="S16" s="2">
        <v>0.2584378</v>
      </c>
      <c r="T16" s="2">
        <v>0.2584379</v>
      </c>
      <c r="U16" s="1">
        <v>0.258438</v>
      </c>
      <c r="V16" s="2">
        <v>0.25843820000000001</v>
      </c>
      <c r="W16" s="2">
        <v>0.25843840000000001</v>
      </c>
      <c r="X16" s="2">
        <v>0.25843870000000002</v>
      </c>
      <c r="Y16" s="2">
        <v>0.25843899999999997</v>
      </c>
      <c r="Z16" s="2">
        <v>0.2066846</v>
      </c>
      <c r="AA16" s="2">
        <v>0.2066846</v>
      </c>
      <c r="AB16" s="2">
        <v>0.2066848</v>
      </c>
      <c r="AC16" s="2">
        <v>0.2066849</v>
      </c>
      <c r="AD16" s="2">
        <v>0.20668510000000001</v>
      </c>
      <c r="AE16" s="2">
        <v>0.20668520000000001</v>
      </c>
      <c r="AF16" s="2">
        <v>0.20668539999999999</v>
      </c>
      <c r="AG16" s="2">
        <v>0.2066857</v>
      </c>
      <c r="AH16" s="2">
        <v>0.1623665</v>
      </c>
      <c r="AI16" s="2">
        <v>0.1623666</v>
      </c>
      <c r="AJ16" s="2">
        <v>0.1623667</v>
      </c>
      <c r="AK16" s="2">
        <v>0.16236680000000001</v>
      </c>
      <c r="AL16" s="2">
        <v>0.16236690000000001</v>
      </c>
      <c r="AM16" s="2">
        <v>0.16236700000000001</v>
      </c>
      <c r="AN16" s="2">
        <v>0.16236719999999999</v>
      </c>
      <c r="AO16" s="2">
        <v>0.1623674</v>
      </c>
      <c r="AP16" s="2">
        <v>0.12746869999999999</v>
      </c>
      <c r="AQ16" s="2">
        <v>0.12725880000000001</v>
      </c>
      <c r="AR16" s="2">
        <v>0.12725880000000001</v>
      </c>
      <c r="AS16" s="2">
        <v>0.12725890000000001</v>
      </c>
      <c r="AT16" s="2">
        <v>0.12725900000000001</v>
      </c>
      <c r="AU16" s="2">
        <v>0.12725910000000001</v>
      </c>
      <c r="AV16" s="2">
        <v>0.12725929999999999</v>
      </c>
      <c r="AW16" s="2">
        <v>0.12725939999999999</v>
      </c>
      <c r="AX16" s="2">
        <v>0.10089579999999999</v>
      </c>
      <c r="AY16" s="2">
        <v>0.1004051</v>
      </c>
      <c r="AZ16" s="2">
        <v>0.1004052</v>
      </c>
      <c r="BA16" s="2">
        <v>0.1004052</v>
      </c>
      <c r="BB16" s="2">
        <v>0.1004053</v>
      </c>
      <c r="BC16" s="2">
        <v>0.10040540000000001</v>
      </c>
      <c r="BD16" s="2">
        <v>0.10040549999999999</v>
      </c>
      <c r="BE16" s="2">
        <v>0.1004056</v>
      </c>
      <c r="BF16" s="2">
        <v>8.0702780000000002E-2</v>
      </c>
      <c r="BG16" s="2">
        <v>8.0214240000000006E-2</v>
      </c>
      <c r="BH16" s="2">
        <v>8.0214279999999999E-2</v>
      </c>
      <c r="BI16" s="2">
        <v>8.021433E-2</v>
      </c>
      <c r="BJ16" s="2">
        <v>8.0214380000000002E-2</v>
      </c>
      <c r="BK16" s="2">
        <v>8.0214460000000001E-2</v>
      </c>
      <c r="BL16" s="2">
        <v>8.0214560000000004E-2</v>
      </c>
      <c r="BM16" s="2">
        <v>8.0214629999999995E-2</v>
      </c>
    </row>
    <row r="17" spans="1:65" x14ac:dyDescent="0.3">
      <c r="B17">
        <f>_xlfn.RANK.AVG(B16,16:16)</f>
        <v>8</v>
      </c>
      <c r="C17">
        <f t="shared" ref="C17:V17" si="3">_xlfn.RANK.AVG(C16,16:16)</f>
        <v>7</v>
      </c>
      <c r="D17">
        <f t="shared" si="3"/>
        <v>6</v>
      </c>
      <c r="E17">
        <f t="shared" si="3"/>
        <v>5</v>
      </c>
      <c r="F17">
        <f t="shared" si="3"/>
        <v>4</v>
      </c>
      <c r="G17">
        <f t="shared" si="3"/>
        <v>3</v>
      </c>
      <c r="H17">
        <f t="shared" si="3"/>
        <v>2</v>
      </c>
      <c r="I17">
        <f t="shared" si="3"/>
        <v>1</v>
      </c>
      <c r="J17">
        <f t="shared" si="3"/>
        <v>16</v>
      </c>
      <c r="K17">
        <f t="shared" si="3"/>
        <v>15</v>
      </c>
      <c r="L17">
        <f t="shared" si="3"/>
        <v>14</v>
      </c>
      <c r="M17">
        <f t="shared" si="3"/>
        <v>13</v>
      </c>
      <c r="N17">
        <f t="shared" si="3"/>
        <v>12</v>
      </c>
      <c r="O17">
        <f t="shared" si="3"/>
        <v>11</v>
      </c>
      <c r="P17">
        <f t="shared" si="3"/>
        <v>10</v>
      </c>
      <c r="Q17">
        <f t="shared" si="3"/>
        <v>9</v>
      </c>
      <c r="R17">
        <f t="shared" si="3"/>
        <v>24</v>
      </c>
      <c r="S17">
        <f t="shared" si="3"/>
        <v>23</v>
      </c>
      <c r="T17">
        <f t="shared" si="3"/>
        <v>22</v>
      </c>
      <c r="U17">
        <f t="shared" si="3"/>
        <v>21</v>
      </c>
      <c r="V17">
        <f t="shared" si="3"/>
        <v>20</v>
      </c>
      <c r="W17">
        <f t="shared" ref="W17:BM17" si="4">_xlfn.RANK.AVG(W16,16:16)</f>
        <v>19</v>
      </c>
      <c r="X17">
        <f t="shared" si="4"/>
        <v>18</v>
      </c>
      <c r="Y17">
        <f t="shared" si="4"/>
        <v>17</v>
      </c>
      <c r="Z17">
        <f t="shared" si="4"/>
        <v>31.5</v>
      </c>
      <c r="AA17">
        <f t="shared" si="4"/>
        <v>31.5</v>
      </c>
      <c r="AB17">
        <f t="shared" si="4"/>
        <v>30</v>
      </c>
      <c r="AC17">
        <f t="shared" si="4"/>
        <v>29</v>
      </c>
      <c r="AD17">
        <f t="shared" si="4"/>
        <v>28</v>
      </c>
      <c r="AE17">
        <f t="shared" si="4"/>
        <v>27</v>
      </c>
      <c r="AF17">
        <f t="shared" si="4"/>
        <v>26</v>
      </c>
      <c r="AG17">
        <f t="shared" si="4"/>
        <v>25</v>
      </c>
      <c r="AH17">
        <f t="shared" si="4"/>
        <v>40</v>
      </c>
      <c r="AI17">
        <f t="shared" si="4"/>
        <v>39</v>
      </c>
      <c r="AJ17">
        <f t="shared" si="4"/>
        <v>38</v>
      </c>
      <c r="AK17">
        <f t="shared" si="4"/>
        <v>37</v>
      </c>
      <c r="AL17">
        <f t="shared" si="4"/>
        <v>36</v>
      </c>
      <c r="AM17">
        <f t="shared" si="4"/>
        <v>35</v>
      </c>
      <c r="AN17">
        <f t="shared" si="4"/>
        <v>34</v>
      </c>
      <c r="AO17">
        <f t="shared" si="4"/>
        <v>33</v>
      </c>
      <c r="AP17">
        <f t="shared" si="4"/>
        <v>41</v>
      </c>
      <c r="AQ17">
        <f t="shared" si="4"/>
        <v>47.5</v>
      </c>
      <c r="AR17">
        <f t="shared" si="4"/>
        <v>47.5</v>
      </c>
      <c r="AS17">
        <f t="shared" si="4"/>
        <v>46</v>
      </c>
      <c r="AT17">
        <f t="shared" si="4"/>
        <v>45</v>
      </c>
      <c r="AU17">
        <f t="shared" si="4"/>
        <v>44</v>
      </c>
      <c r="AV17">
        <f t="shared" si="4"/>
        <v>43</v>
      </c>
      <c r="AW17">
        <f t="shared" si="4"/>
        <v>42</v>
      </c>
      <c r="AX17">
        <f t="shared" si="4"/>
        <v>49</v>
      </c>
      <c r="AY17">
        <f t="shared" si="4"/>
        <v>56</v>
      </c>
      <c r="AZ17">
        <f t="shared" si="4"/>
        <v>54.5</v>
      </c>
      <c r="BA17">
        <f t="shared" si="4"/>
        <v>54.5</v>
      </c>
      <c r="BB17">
        <f t="shared" si="4"/>
        <v>53</v>
      </c>
      <c r="BC17">
        <f t="shared" si="4"/>
        <v>52</v>
      </c>
      <c r="BD17">
        <f t="shared" si="4"/>
        <v>51</v>
      </c>
      <c r="BE17">
        <f t="shared" si="4"/>
        <v>50</v>
      </c>
      <c r="BF17">
        <f t="shared" si="4"/>
        <v>57</v>
      </c>
      <c r="BG17">
        <f t="shared" si="4"/>
        <v>64</v>
      </c>
      <c r="BH17">
        <f t="shared" si="4"/>
        <v>63</v>
      </c>
      <c r="BI17">
        <f t="shared" si="4"/>
        <v>62</v>
      </c>
      <c r="BJ17">
        <f t="shared" si="4"/>
        <v>61</v>
      </c>
      <c r="BK17">
        <f t="shared" si="4"/>
        <v>60</v>
      </c>
      <c r="BL17">
        <f t="shared" si="4"/>
        <v>59</v>
      </c>
      <c r="BM17">
        <f t="shared" si="4"/>
        <v>58</v>
      </c>
    </row>
    <row r="18" spans="1:65" x14ac:dyDescent="0.3">
      <c r="A18" t="s">
        <v>3</v>
      </c>
    </row>
    <row r="19" spans="1:65" x14ac:dyDescent="0.3">
      <c r="A19" t="s">
        <v>4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1.64285714</v>
      </c>
      <c r="K19">
        <v>1.64285714</v>
      </c>
      <c r="L19">
        <v>1.64285714</v>
      </c>
      <c r="M19">
        <v>1.64285714</v>
      </c>
      <c r="N19">
        <v>1.64285714</v>
      </c>
      <c r="O19">
        <v>1.64285714</v>
      </c>
      <c r="P19">
        <v>1.64285714</v>
      </c>
      <c r="Q19">
        <v>1.64285714</v>
      </c>
      <c r="R19">
        <v>1.78571429</v>
      </c>
      <c r="S19">
        <v>1.78571429</v>
      </c>
      <c r="T19">
        <v>1.78571429</v>
      </c>
      <c r="U19">
        <v>1.78571429</v>
      </c>
      <c r="V19">
        <v>1.78571429</v>
      </c>
      <c r="W19">
        <v>1.78571429</v>
      </c>
      <c r="X19">
        <v>1.78571429</v>
      </c>
      <c r="Y19">
        <v>1.78571429</v>
      </c>
      <c r="Z19">
        <v>1.9285714300000001</v>
      </c>
      <c r="AA19">
        <v>1.9285714300000001</v>
      </c>
      <c r="AB19">
        <v>1.9285714300000001</v>
      </c>
      <c r="AC19">
        <v>1.9285714300000001</v>
      </c>
      <c r="AD19">
        <v>1.9285714300000001</v>
      </c>
      <c r="AE19">
        <v>1.9285714300000001</v>
      </c>
      <c r="AF19">
        <v>1.9285714300000001</v>
      </c>
      <c r="AG19">
        <v>1.9285714300000001</v>
      </c>
      <c r="AH19">
        <v>2.0714285700000001</v>
      </c>
      <c r="AI19">
        <v>2.0714285700000001</v>
      </c>
      <c r="AJ19">
        <v>2.0714285700000001</v>
      </c>
      <c r="AK19">
        <v>2.0714285700000001</v>
      </c>
      <c r="AL19">
        <v>2.0714285700000001</v>
      </c>
      <c r="AM19">
        <v>2.0714285700000001</v>
      </c>
      <c r="AN19">
        <v>2.0714285700000001</v>
      </c>
      <c r="AO19">
        <v>2.0714285700000001</v>
      </c>
      <c r="AP19">
        <v>2.21428571</v>
      </c>
      <c r="AQ19">
        <v>2.21428571</v>
      </c>
      <c r="AR19">
        <v>2.21428571</v>
      </c>
      <c r="AS19">
        <v>2.21428571</v>
      </c>
      <c r="AT19">
        <v>2.21428571</v>
      </c>
      <c r="AU19">
        <v>2.21428571</v>
      </c>
      <c r="AV19">
        <v>2.21428571</v>
      </c>
      <c r="AW19">
        <v>2.21428571</v>
      </c>
      <c r="AX19">
        <v>2.3571428600000002</v>
      </c>
      <c r="AY19">
        <v>2.3571428600000002</v>
      </c>
      <c r="AZ19">
        <v>2.3571428600000002</v>
      </c>
      <c r="BA19">
        <v>2.3571428600000002</v>
      </c>
      <c r="BB19">
        <v>2.3571428600000002</v>
      </c>
      <c r="BC19">
        <v>2.3571428600000002</v>
      </c>
      <c r="BD19">
        <v>2.3571428600000002</v>
      </c>
      <c r="BE19">
        <v>2.3571428600000002</v>
      </c>
      <c r="BF19">
        <v>2.5</v>
      </c>
      <c r="BG19">
        <v>2.5</v>
      </c>
      <c r="BH19">
        <v>2.5</v>
      </c>
      <c r="BI19">
        <v>2.5</v>
      </c>
      <c r="BJ19">
        <v>2.5</v>
      </c>
      <c r="BK19">
        <v>2.5</v>
      </c>
      <c r="BL19">
        <v>2.5</v>
      </c>
      <c r="BM19">
        <v>2.5</v>
      </c>
    </row>
    <row r="20" spans="1:65" x14ac:dyDescent="0.3">
      <c r="A20" t="s">
        <v>5</v>
      </c>
      <c r="B20" s="1">
        <v>5.0000000000000004E-6</v>
      </c>
      <c r="C20" s="1">
        <v>7.1428571399999998E-6</v>
      </c>
      <c r="D20" s="1">
        <v>9.2857142899999998E-6</v>
      </c>
      <c r="E20" s="1">
        <v>1.14285714E-5</v>
      </c>
      <c r="F20" s="1">
        <v>1.35714286E-5</v>
      </c>
      <c r="G20" s="1">
        <v>1.57142857E-5</v>
      </c>
      <c r="H20" s="1">
        <v>1.7857142900000002E-5</v>
      </c>
      <c r="I20" s="1">
        <v>2.0000000000000002E-5</v>
      </c>
      <c r="J20" s="1">
        <v>5.0000000000000004E-6</v>
      </c>
      <c r="K20" s="1">
        <v>7.1428571399999998E-6</v>
      </c>
      <c r="L20" s="1">
        <v>9.2857142899999998E-6</v>
      </c>
      <c r="M20" s="1">
        <v>1.14285714E-5</v>
      </c>
      <c r="N20" s="1">
        <v>1.35714286E-5</v>
      </c>
      <c r="O20" s="1">
        <v>1.57142857E-5</v>
      </c>
      <c r="P20" s="1">
        <v>1.7857142900000002E-5</v>
      </c>
      <c r="Q20" s="1">
        <v>2.0000000000000002E-5</v>
      </c>
      <c r="R20" s="1">
        <v>5.0000000000000004E-6</v>
      </c>
      <c r="S20" s="1">
        <v>7.1428571399999998E-6</v>
      </c>
      <c r="T20" s="1">
        <v>9.2857142899999998E-6</v>
      </c>
      <c r="U20" s="1">
        <v>1.14285714E-5</v>
      </c>
      <c r="V20" s="1">
        <v>1.35714286E-5</v>
      </c>
      <c r="W20" s="1">
        <v>1.57142857E-5</v>
      </c>
      <c r="X20" s="1">
        <v>1.7857142900000002E-5</v>
      </c>
      <c r="Y20" s="1">
        <v>2.0000000000000002E-5</v>
      </c>
      <c r="Z20" s="1">
        <v>5.0000000000000004E-6</v>
      </c>
      <c r="AA20" s="1">
        <v>7.1428571399999998E-6</v>
      </c>
      <c r="AB20" s="1">
        <v>9.2857142899999998E-6</v>
      </c>
      <c r="AC20" s="1">
        <v>1.14285714E-5</v>
      </c>
      <c r="AD20" s="1">
        <v>1.35714286E-5</v>
      </c>
      <c r="AE20" s="1">
        <v>1.57142857E-5</v>
      </c>
      <c r="AF20" s="1">
        <v>1.7857142900000002E-5</v>
      </c>
      <c r="AG20" s="1">
        <v>2.0000000000000002E-5</v>
      </c>
      <c r="AH20" s="1">
        <v>5.0000000000000004E-6</v>
      </c>
      <c r="AI20" s="1">
        <v>7.1428571399999998E-6</v>
      </c>
      <c r="AJ20" s="1">
        <v>9.2857142899999998E-6</v>
      </c>
      <c r="AK20" s="1">
        <v>1.14285714E-5</v>
      </c>
      <c r="AL20" s="1">
        <v>1.35714286E-5</v>
      </c>
      <c r="AM20" s="1">
        <v>1.57142857E-5</v>
      </c>
      <c r="AN20" s="1">
        <v>1.7857142900000002E-5</v>
      </c>
      <c r="AO20" s="1">
        <v>2.0000000000000002E-5</v>
      </c>
      <c r="AP20" s="1">
        <v>5.0000000000000004E-6</v>
      </c>
      <c r="AQ20" s="1">
        <v>7.1428571399999998E-6</v>
      </c>
      <c r="AR20" s="1">
        <v>9.2857142899999998E-6</v>
      </c>
      <c r="AS20" s="1">
        <v>1.14285714E-5</v>
      </c>
      <c r="AT20" s="1">
        <v>1.35714286E-5</v>
      </c>
      <c r="AU20" s="1">
        <v>1.57142857E-5</v>
      </c>
      <c r="AV20" s="1">
        <v>1.7857142900000002E-5</v>
      </c>
      <c r="AW20" s="1">
        <v>2.0000000000000002E-5</v>
      </c>
      <c r="AX20" s="1">
        <v>5.0000000000000004E-6</v>
      </c>
      <c r="AY20" s="1">
        <v>7.1428571399999998E-6</v>
      </c>
      <c r="AZ20" s="1">
        <v>9.2857142899999998E-6</v>
      </c>
      <c r="BA20" s="1">
        <v>1.14285714E-5</v>
      </c>
      <c r="BB20" s="1">
        <v>1.35714286E-5</v>
      </c>
      <c r="BC20" s="1">
        <v>1.57142857E-5</v>
      </c>
      <c r="BD20" s="1">
        <v>1.7857142900000002E-5</v>
      </c>
      <c r="BE20" s="1">
        <v>2.0000000000000002E-5</v>
      </c>
      <c r="BF20" s="1">
        <v>5.0000000000000004E-6</v>
      </c>
      <c r="BG20" s="1">
        <v>7.1428571399999998E-6</v>
      </c>
      <c r="BH20" s="1">
        <v>9.2857142899999998E-6</v>
      </c>
      <c r="BI20" s="1">
        <v>1.14285714E-5</v>
      </c>
      <c r="BJ20" s="1">
        <v>1.35714286E-5</v>
      </c>
      <c r="BK20" s="1">
        <v>1.57142857E-5</v>
      </c>
      <c r="BL20" s="1">
        <v>1.7857142900000002E-5</v>
      </c>
      <c r="BM20" s="1">
        <v>2.0000000000000002E-5</v>
      </c>
    </row>
    <row r="21" spans="1:65" x14ac:dyDescent="0.3">
      <c r="B21" s="2">
        <v>0.12077</v>
      </c>
      <c r="C21" s="2">
        <v>0.12077010000000001</v>
      </c>
      <c r="D21" s="2">
        <v>0.12077019999999999</v>
      </c>
      <c r="E21" s="2">
        <v>0.1207703</v>
      </c>
      <c r="F21" s="2">
        <v>0.1207705</v>
      </c>
      <c r="G21" s="2">
        <v>0.12077069999999999</v>
      </c>
      <c r="H21" s="2">
        <v>0.1207709</v>
      </c>
      <c r="I21" s="2">
        <v>0.12077110000000001</v>
      </c>
      <c r="J21" s="2">
        <v>0.1206193</v>
      </c>
      <c r="K21" s="2">
        <v>0.1206194</v>
      </c>
      <c r="L21" s="2">
        <v>0.1206195</v>
      </c>
      <c r="M21" s="2">
        <v>0.1206197</v>
      </c>
      <c r="N21" s="2">
        <v>0.1206198</v>
      </c>
      <c r="O21" s="2">
        <v>0.12062</v>
      </c>
      <c r="P21" s="2">
        <v>0.1206203</v>
      </c>
      <c r="Q21" s="2">
        <v>0.12062050000000001</v>
      </c>
      <c r="R21" s="2">
        <v>0.12009069999999999</v>
      </c>
      <c r="S21" s="2">
        <v>0.1200908</v>
      </c>
      <c r="T21" s="2">
        <v>0.1200909</v>
      </c>
      <c r="U21" s="2">
        <v>0.120091</v>
      </c>
      <c r="V21" s="2">
        <v>0.1200912</v>
      </c>
      <c r="W21" s="2">
        <v>0.1201055</v>
      </c>
      <c r="X21" s="2">
        <v>0.1201058</v>
      </c>
      <c r="Y21" s="2">
        <v>0.120106</v>
      </c>
      <c r="Z21" s="2">
        <v>0.1191928</v>
      </c>
      <c r="AA21" s="2">
        <v>0.1191929</v>
      </c>
      <c r="AB21" s="2">
        <v>0.11919299999999999</v>
      </c>
      <c r="AC21" s="2">
        <v>0.1191932</v>
      </c>
      <c r="AD21" s="2">
        <v>0.1191933</v>
      </c>
      <c r="AE21" s="2">
        <v>0.11919349999999999</v>
      </c>
      <c r="AF21" s="2">
        <v>0.1191937</v>
      </c>
      <c r="AG21" s="2">
        <v>0.11919399999999999</v>
      </c>
      <c r="AH21" s="2">
        <v>0.1188873</v>
      </c>
      <c r="AI21" s="2">
        <v>0.1188874</v>
      </c>
      <c r="AJ21" s="2">
        <v>0.11888749999999999</v>
      </c>
      <c r="AK21" s="2">
        <v>0.1188876</v>
      </c>
      <c r="AL21" s="2">
        <v>0.1188878</v>
      </c>
      <c r="AM21" s="2">
        <v>0.11888799999999999</v>
      </c>
      <c r="AN21" s="2">
        <v>0.1188882</v>
      </c>
      <c r="AO21" s="2">
        <v>0.11888849999999999</v>
      </c>
      <c r="AP21" s="2">
        <v>0.119299</v>
      </c>
      <c r="AQ21" s="2">
        <v>0.1192125</v>
      </c>
      <c r="AR21" s="2">
        <v>0.1192126</v>
      </c>
      <c r="AS21" s="2">
        <v>0.11924029999999999</v>
      </c>
      <c r="AT21" s="2">
        <v>0.1192405</v>
      </c>
      <c r="AU21" s="2">
        <v>0.11924070000000001</v>
      </c>
      <c r="AV21" s="2">
        <v>0.1192409</v>
      </c>
      <c r="AW21" s="2">
        <v>0.11924120000000001</v>
      </c>
      <c r="AX21" s="1">
        <v>0.11922140000000001</v>
      </c>
      <c r="AY21" s="2">
        <v>0.1191334</v>
      </c>
      <c r="AZ21" s="2">
        <v>0.1191335</v>
      </c>
      <c r="BA21" s="2">
        <v>0.11913360000000001</v>
      </c>
      <c r="BB21" s="1">
        <v>0.1191338</v>
      </c>
      <c r="BC21" s="2">
        <v>0.119134</v>
      </c>
      <c r="BD21" s="2">
        <v>0.11914810000000001</v>
      </c>
      <c r="BE21" s="2">
        <v>0.11915530000000001</v>
      </c>
      <c r="BF21" s="2">
        <v>0.1187696</v>
      </c>
      <c r="BG21" s="2">
        <v>0.1187913</v>
      </c>
      <c r="BH21" s="2">
        <v>0.11879140000000001</v>
      </c>
      <c r="BI21" s="2">
        <v>0.1187916</v>
      </c>
      <c r="BJ21" s="2">
        <v>0.1187917</v>
      </c>
      <c r="BK21" s="2">
        <v>0.11879190000000001</v>
      </c>
      <c r="BL21" s="2">
        <v>0.1187922</v>
      </c>
      <c r="BM21" s="2">
        <v>0.11879240000000001</v>
      </c>
    </row>
    <row r="22" spans="1:65" x14ac:dyDescent="0.3">
      <c r="B22">
        <f>_xlfn.RANK.AVG(B21,21:21)</f>
        <v>8</v>
      </c>
      <c r="C22">
        <f t="shared" ref="C22:BM22" si="5">_xlfn.RANK.AVG(C21,21:21)</f>
        <v>7</v>
      </c>
      <c r="D22">
        <f t="shared" si="5"/>
        <v>6</v>
      </c>
      <c r="E22">
        <f t="shared" si="5"/>
        <v>5</v>
      </c>
      <c r="F22">
        <f t="shared" si="5"/>
        <v>4</v>
      </c>
      <c r="G22">
        <f t="shared" si="5"/>
        <v>3</v>
      </c>
      <c r="H22">
        <f t="shared" si="5"/>
        <v>2</v>
      </c>
      <c r="I22">
        <f t="shared" si="5"/>
        <v>1</v>
      </c>
      <c r="J22">
        <f t="shared" si="5"/>
        <v>16</v>
      </c>
      <c r="K22">
        <f t="shared" si="5"/>
        <v>15</v>
      </c>
      <c r="L22">
        <f t="shared" si="5"/>
        <v>14</v>
      </c>
      <c r="M22">
        <f t="shared" si="5"/>
        <v>13</v>
      </c>
      <c r="N22">
        <f t="shared" si="5"/>
        <v>12</v>
      </c>
      <c r="O22">
        <f t="shared" si="5"/>
        <v>11</v>
      </c>
      <c r="P22">
        <f t="shared" si="5"/>
        <v>10</v>
      </c>
      <c r="Q22">
        <f t="shared" si="5"/>
        <v>9</v>
      </c>
      <c r="R22">
        <f t="shared" si="5"/>
        <v>24</v>
      </c>
      <c r="S22">
        <f t="shared" si="5"/>
        <v>23</v>
      </c>
      <c r="T22">
        <f t="shared" si="5"/>
        <v>22</v>
      </c>
      <c r="U22">
        <f t="shared" si="5"/>
        <v>21</v>
      </c>
      <c r="V22">
        <f t="shared" si="5"/>
        <v>20</v>
      </c>
      <c r="W22">
        <f t="shared" si="5"/>
        <v>19</v>
      </c>
      <c r="X22">
        <f t="shared" si="5"/>
        <v>18</v>
      </c>
      <c r="Y22">
        <f t="shared" si="5"/>
        <v>17</v>
      </c>
      <c r="Z22">
        <f t="shared" si="5"/>
        <v>41</v>
      </c>
      <c r="AA22">
        <f t="shared" si="5"/>
        <v>40</v>
      </c>
      <c r="AB22">
        <f t="shared" si="5"/>
        <v>39</v>
      </c>
      <c r="AC22">
        <f t="shared" si="5"/>
        <v>38</v>
      </c>
      <c r="AD22">
        <f t="shared" si="5"/>
        <v>37</v>
      </c>
      <c r="AE22">
        <f t="shared" si="5"/>
        <v>36</v>
      </c>
      <c r="AF22">
        <f t="shared" si="5"/>
        <v>35</v>
      </c>
      <c r="AG22">
        <f t="shared" si="5"/>
        <v>34</v>
      </c>
      <c r="AH22">
        <f t="shared" si="5"/>
        <v>56</v>
      </c>
      <c r="AI22">
        <f t="shared" si="5"/>
        <v>55</v>
      </c>
      <c r="AJ22">
        <f t="shared" si="5"/>
        <v>54</v>
      </c>
      <c r="AK22">
        <f t="shared" si="5"/>
        <v>53</v>
      </c>
      <c r="AL22">
        <f t="shared" si="5"/>
        <v>52</v>
      </c>
      <c r="AM22">
        <f t="shared" si="5"/>
        <v>51</v>
      </c>
      <c r="AN22">
        <f t="shared" si="5"/>
        <v>50</v>
      </c>
      <c r="AO22">
        <f t="shared" si="5"/>
        <v>49</v>
      </c>
      <c r="AP22">
        <f t="shared" si="5"/>
        <v>25</v>
      </c>
      <c r="AQ22">
        <f t="shared" si="5"/>
        <v>33</v>
      </c>
      <c r="AR22">
        <f t="shared" si="5"/>
        <v>32</v>
      </c>
      <c r="AS22">
        <f t="shared" si="5"/>
        <v>30</v>
      </c>
      <c r="AT22">
        <f t="shared" si="5"/>
        <v>29</v>
      </c>
      <c r="AU22">
        <f t="shared" si="5"/>
        <v>28</v>
      </c>
      <c r="AV22">
        <f t="shared" si="5"/>
        <v>27</v>
      </c>
      <c r="AW22">
        <f t="shared" si="5"/>
        <v>26</v>
      </c>
      <c r="AX22">
        <f t="shared" si="5"/>
        <v>31</v>
      </c>
      <c r="AY22">
        <f t="shared" si="5"/>
        <v>48</v>
      </c>
      <c r="AZ22">
        <f t="shared" si="5"/>
        <v>47</v>
      </c>
      <c r="BA22">
        <f t="shared" si="5"/>
        <v>46</v>
      </c>
      <c r="BB22">
        <f t="shared" si="5"/>
        <v>45</v>
      </c>
      <c r="BC22">
        <f t="shared" si="5"/>
        <v>44</v>
      </c>
      <c r="BD22">
        <f t="shared" si="5"/>
        <v>43</v>
      </c>
      <c r="BE22">
        <f t="shared" si="5"/>
        <v>42</v>
      </c>
      <c r="BF22">
        <f t="shared" si="5"/>
        <v>64</v>
      </c>
      <c r="BG22">
        <f t="shared" si="5"/>
        <v>63</v>
      </c>
      <c r="BH22">
        <f t="shared" si="5"/>
        <v>62</v>
      </c>
      <c r="BI22">
        <f t="shared" si="5"/>
        <v>61</v>
      </c>
      <c r="BJ22">
        <f t="shared" si="5"/>
        <v>60</v>
      </c>
      <c r="BK22">
        <f t="shared" si="5"/>
        <v>59</v>
      </c>
      <c r="BL22">
        <f t="shared" si="5"/>
        <v>58</v>
      </c>
      <c r="BM22">
        <f t="shared" si="5"/>
        <v>57</v>
      </c>
    </row>
    <row r="23" spans="1:65" x14ac:dyDescent="0.3">
      <c r="I23" t="s">
        <v>1</v>
      </c>
      <c r="J23" t="s">
        <v>2</v>
      </c>
      <c r="K23" t="s">
        <v>3</v>
      </c>
    </row>
    <row r="24" spans="1:65" x14ac:dyDescent="0.3">
      <c r="G24" t="s">
        <v>12</v>
      </c>
      <c r="H24" t="s">
        <v>6</v>
      </c>
      <c r="I24">
        <f>RSQ(4:4, 10:10)</f>
        <v>0.99919517145097747</v>
      </c>
      <c r="J24">
        <f>RSQ(4:4, 16:16)</f>
        <v>0.98741012446588217</v>
      </c>
      <c r="K24">
        <f>RSQ(4:4, 21:21)</f>
        <v>0.84788371763641346</v>
      </c>
      <c r="Y24" t="s">
        <v>13</v>
      </c>
      <c r="Z24" t="s">
        <v>11</v>
      </c>
      <c r="AA24" t="s">
        <v>8</v>
      </c>
      <c r="AB24" t="s">
        <v>9</v>
      </c>
      <c r="AC24" t="s">
        <v>10</v>
      </c>
    </row>
    <row r="25" spans="1:65" x14ac:dyDescent="0.3">
      <c r="H25" t="s">
        <v>7</v>
      </c>
      <c r="I25">
        <f>PEARSON(4:4, 10:10)</f>
        <v>0.99959750472426523</v>
      </c>
      <c r="J25">
        <f>PEARSON(4:4, 16:16)</f>
        <v>-0.99368512339970272</v>
      </c>
      <c r="K25">
        <f>PEARSON(4:4, 21:21)</f>
        <v>-0.92080601520429584</v>
      </c>
      <c r="Y25" t="s">
        <v>11</v>
      </c>
      <c r="AA25" t="e">
        <f>CORREL(6:6,11:11)</f>
        <v>#N/A</v>
      </c>
      <c r="AB25" t="e">
        <f>CORREL(6:6,17:17)</f>
        <v>#N/A</v>
      </c>
      <c r="AC25" t="e">
        <f>CORREL(6:6,22:22)</f>
        <v>#N/A</v>
      </c>
    </row>
    <row r="26" spans="1:65" x14ac:dyDescent="0.3">
      <c r="Y26" t="s">
        <v>8</v>
      </c>
      <c r="AB26">
        <f>CORREL(11:11,17:17)</f>
        <v>-0.98774618165610539</v>
      </c>
      <c r="AC26">
        <f>CORREL(11:11,22:22)</f>
        <v>-0.8598608896452129</v>
      </c>
    </row>
    <row r="27" spans="1:65" x14ac:dyDescent="0.3">
      <c r="Y27" t="s">
        <v>9</v>
      </c>
      <c r="AC27">
        <f>CORREL(17:17,22:22)</f>
        <v>0.87381663799137688</v>
      </c>
    </row>
    <row r="28" spans="1:65" x14ac:dyDescent="0.3">
      <c r="Y28" t="s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이승원(기계공학과)</dc:creator>
  <cp:lastModifiedBy>이승원(기계공학과)</cp:lastModifiedBy>
  <dcterms:created xsi:type="dcterms:W3CDTF">2026-01-08T04:39:53Z</dcterms:created>
  <dcterms:modified xsi:type="dcterms:W3CDTF">2026-01-17T13:41:10Z</dcterms:modified>
</cp:coreProperties>
</file>