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chackr-my.sharepoint.com/personal/dongdong0615_postech_ac_kr/Documents/바탕 화면/본인/POSTECH/3학년/연구참여/"/>
    </mc:Choice>
  </mc:AlternateContent>
  <xr:revisionPtr revIDLastSave="51" documentId="8_{F5B726F1-23A7-4173-87D2-9C9D934E3596}" xr6:coauthVersionLast="47" xr6:coauthVersionMax="47" xr10:uidLastSave="{7495DAE3-C78B-4E80-98D3-B29F73965483}"/>
  <bookViews>
    <workbookView xWindow="22932" yWindow="-108" windowWidth="23256" windowHeight="13176" xr2:uid="{104FFF61-09F4-4712-89AC-248946DB38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1" l="1"/>
  <c r="B35" i="1"/>
  <c r="B36" i="1"/>
  <c r="B37" i="1"/>
  <c r="B38" i="1"/>
  <c r="B39" i="1"/>
  <c r="B40" i="1"/>
  <c r="B41" i="1"/>
  <c r="B42" i="1"/>
  <c r="B33" i="1"/>
  <c r="B19" i="1"/>
  <c r="B20" i="1"/>
  <c r="B21" i="1"/>
  <c r="B22" i="1"/>
  <c r="B23" i="1"/>
  <c r="B24" i="1"/>
  <c r="B25" i="1"/>
  <c r="B26" i="1"/>
  <c r="B27" i="1"/>
  <c r="B18" i="1"/>
  <c r="B4" i="1"/>
  <c r="B5" i="1"/>
  <c r="B6" i="1"/>
  <c r="B7" i="1"/>
  <c r="B8" i="1"/>
  <c r="B9" i="1"/>
  <c r="B10" i="1"/>
  <c r="B11" i="1"/>
  <c r="B12" i="1"/>
  <c r="B3" i="1"/>
</calcChain>
</file>

<file path=xl/sharedStrings.xml><?xml version="1.0" encoding="utf-8"?>
<sst xmlns="http://schemas.openxmlformats.org/spreadsheetml/2006/main" count="12" uniqueCount="6">
  <si>
    <t>lf1</t>
    <phoneticPr fontId="1" type="noConversion"/>
  </si>
  <si>
    <t>x2</t>
    <phoneticPr fontId="1" type="noConversion"/>
  </si>
  <si>
    <t>x1</t>
    <phoneticPr fontId="1" type="noConversion"/>
  </si>
  <si>
    <t>lf2</t>
    <phoneticPr fontId="1" type="noConversion"/>
  </si>
  <si>
    <t>lf3</t>
    <phoneticPr fontId="1" type="noConversion"/>
  </si>
  <si>
    <t>hf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</si>
</sst>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363A3D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LF1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2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61175226509397"/>
          <c:y val="8.9715536986070266E-2"/>
          <c:w val="0.84049631637871103"/>
          <c:h val="0.76312592240958799"/>
        </c:manualLayout>
      </c:layout>
      <c:surface3DChart>
        <c:wireframe val="0"/>
        <c:ser>
          <c:idx val="0"/>
          <c:order val="0"/>
          <c:tx>
            <c:strRef>
              <c:f>Sheet1!$B$3</c:f>
              <c:strCache>
                <c:ptCount val="1"/>
                <c:pt idx="0">
                  <c:v>-9.210340372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Sheet1!$C$2:$L$2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Sheet1!$C$3:$L$3</c:f>
              <c:numCache>
                <c:formatCode>0.00E+00</c:formatCode>
                <c:ptCount val="10"/>
                <c:pt idx="0">
                  <c:v>0.43048779999999998</c:v>
                </c:pt>
                <c:pt idx="1">
                  <c:v>0.48033189999999998</c:v>
                </c:pt>
                <c:pt idx="2">
                  <c:v>0.4434343</c:v>
                </c:pt>
                <c:pt idx="3">
                  <c:v>0.30196089999999998</c:v>
                </c:pt>
                <c:pt idx="4">
                  <c:v>0.2478532</c:v>
                </c:pt>
                <c:pt idx="5">
                  <c:v>0.27690090000000001</c:v>
                </c:pt>
                <c:pt idx="6">
                  <c:v>0.34436169999999999</c:v>
                </c:pt>
                <c:pt idx="7">
                  <c:v>0.31179030000000002</c:v>
                </c:pt>
                <c:pt idx="8">
                  <c:v>0.3017418</c:v>
                </c:pt>
                <c:pt idx="9">
                  <c:v>0.30916549999999998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1-4C17-B89D-9699F2889BF7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-8.18695463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Sheet1!$C$2:$L$2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Sheet1!$C$4:$L$4</c:f>
              <c:numCache>
                <c:formatCode>0.00E+00</c:formatCode>
                <c:ptCount val="10"/>
                <c:pt idx="0">
                  <c:v>0.43048779999999998</c:v>
                </c:pt>
                <c:pt idx="1">
                  <c:v>0.48033189999999998</c:v>
                </c:pt>
                <c:pt idx="2">
                  <c:v>0.4434343</c:v>
                </c:pt>
                <c:pt idx="3">
                  <c:v>0.30191289999999998</c:v>
                </c:pt>
                <c:pt idx="4">
                  <c:v>0.24787110000000001</c:v>
                </c:pt>
                <c:pt idx="5">
                  <c:v>0.27706209999999998</c:v>
                </c:pt>
                <c:pt idx="6">
                  <c:v>0.3444565</c:v>
                </c:pt>
                <c:pt idx="7">
                  <c:v>0.31179030000000002</c:v>
                </c:pt>
                <c:pt idx="8">
                  <c:v>0.30180180000000001</c:v>
                </c:pt>
                <c:pt idx="9">
                  <c:v>0.30916549999999998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A1-4C17-B89D-9699F2889BF7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-7.163602823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Sheet1!$C$2:$L$2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Sheet1!$C$5:$L$5</c:f>
              <c:numCache>
                <c:formatCode>0.00E+00</c:formatCode>
                <c:ptCount val="10"/>
                <c:pt idx="0">
                  <c:v>0.43060549999999997</c:v>
                </c:pt>
                <c:pt idx="1">
                  <c:v>0.48049560000000002</c:v>
                </c:pt>
                <c:pt idx="2">
                  <c:v>0.4434767</c:v>
                </c:pt>
                <c:pt idx="3">
                  <c:v>0.30186499999999999</c:v>
                </c:pt>
                <c:pt idx="4">
                  <c:v>0.2479856</c:v>
                </c:pt>
                <c:pt idx="5">
                  <c:v>0.2779626</c:v>
                </c:pt>
                <c:pt idx="6">
                  <c:v>0.34498990000000002</c:v>
                </c:pt>
                <c:pt idx="7">
                  <c:v>0.31184539999999999</c:v>
                </c:pt>
                <c:pt idx="8">
                  <c:v>0.30186960000000002</c:v>
                </c:pt>
                <c:pt idx="9">
                  <c:v>0.30916549999999998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A1-4C17-B89D-9699F2889BF7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-6.140243016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Sheet1!$C$2:$L$2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Sheet1!$C$6:$L$6</c:f>
              <c:numCache>
                <c:formatCode>0.00E+00</c:formatCode>
                <c:ptCount val="10"/>
                <c:pt idx="0">
                  <c:v>0.43069079999999998</c:v>
                </c:pt>
                <c:pt idx="1">
                  <c:v>0.48079690000000003</c:v>
                </c:pt>
                <c:pt idx="2">
                  <c:v>0.44360440000000001</c:v>
                </c:pt>
                <c:pt idx="3">
                  <c:v>0.30179650000000002</c:v>
                </c:pt>
                <c:pt idx="4">
                  <c:v>0.24915780000000001</c:v>
                </c:pt>
                <c:pt idx="5">
                  <c:v>0.2792984</c:v>
                </c:pt>
                <c:pt idx="6">
                  <c:v>0.34637119999999999</c:v>
                </c:pt>
                <c:pt idx="7">
                  <c:v>0.31207430000000003</c:v>
                </c:pt>
                <c:pt idx="8">
                  <c:v>0.30155510000000002</c:v>
                </c:pt>
                <c:pt idx="9">
                  <c:v>0.3091293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A1-4C17-B89D-9699F2889BF7}"/>
            </c:ext>
          </c:extLst>
        </c:ser>
        <c:ser>
          <c:idx val="4"/>
          <c:order val="4"/>
          <c:tx>
            <c:strRef>
              <c:f>Sheet1!$B$7</c:f>
              <c:strCache>
                <c:ptCount val="1"/>
                <c:pt idx="0">
                  <c:v>-5.116862852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Sheet1!$C$2:$L$2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Sheet1!$C$7:$L$7</c:f>
              <c:numCache>
                <c:formatCode>0.00E+00</c:formatCode>
                <c:ptCount val="10"/>
                <c:pt idx="0">
                  <c:v>0.43101460000000003</c:v>
                </c:pt>
                <c:pt idx="1">
                  <c:v>0.48170649999999998</c:v>
                </c:pt>
                <c:pt idx="2">
                  <c:v>0.44376729999999998</c:v>
                </c:pt>
                <c:pt idx="3">
                  <c:v>0.3006278</c:v>
                </c:pt>
                <c:pt idx="4">
                  <c:v>0.2517279</c:v>
                </c:pt>
                <c:pt idx="5">
                  <c:v>0.28412730000000003</c:v>
                </c:pt>
                <c:pt idx="6">
                  <c:v>0.3507361</c:v>
                </c:pt>
                <c:pt idx="7">
                  <c:v>0.3129961</c:v>
                </c:pt>
                <c:pt idx="8">
                  <c:v>0.30197659999999998</c:v>
                </c:pt>
                <c:pt idx="9">
                  <c:v>0.30880069999999998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A1-4C17-B89D-9699F2889BF7}"/>
            </c:ext>
          </c:extLst>
        </c:ser>
        <c:ser>
          <c:idx val="5"/>
          <c:order val="5"/>
          <c:tx>
            <c:strRef>
              <c:f>Sheet1!$B$8</c:f>
              <c:strCache>
                <c:ptCount val="1"/>
                <c:pt idx="0">
                  <c:v>-4.093484932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Sheet1!$C$2:$L$2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Sheet1!$C$8:$L$8</c:f>
              <c:numCache>
                <c:formatCode>0.00E+00</c:formatCode>
                <c:ptCount val="10"/>
                <c:pt idx="0">
                  <c:v>0.43176249999999999</c:v>
                </c:pt>
                <c:pt idx="1">
                  <c:v>0.48489510000000002</c:v>
                </c:pt>
                <c:pt idx="2">
                  <c:v>0.44432310000000003</c:v>
                </c:pt>
                <c:pt idx="3">
                  <c:v>0.29837459999999999</c:v>
                </c:pt>
                <c:pt idx="4">
                  <c:v>0.25926529999999998</c:v>
                </c:pt>
                <c:pt idx="5">
                  <c:v>0.2977477</c:v>
                </c:pt>
                <c:pt idx="6">
                  <c:v>0.36207450000000002</c:v>
                </c:pt>
                <c:pt idx="7">
                  <c:v>0.31673249999999997</c:v>
                </c:pt>
                <c:pt idx="8">
                  <c:v>0.30185309999999999</c:v>
                </c:pt>
                <c:pt idx="9">
                  <c:v>0.3079094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A1-4C17-B89D-9699F2889BF7}"/>
            </c:ext>
          </c:extLst>
        </c:ser>
        <c:ser>
          <c:idx val="6"/>
          <c:order val="6"/>
          <c:tx>
            <c:strRef>
              <c:f>Sheet1!$B$9</c:f>
              <c:strCache>
                <c:ptCount val="1"/>
                <c:pt idx="0">
                  <c:v>-3.070111052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Sheet1!$C$2:$L$2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Sheet1!$C$9:$L$9</c:f>
              <c:numCache>
                <c:formatCode>0.00E+00</c:formatCode>
                <c:ptCount val="10"/>
                <c:pt idx="0">
                  <c:v>0.43368299999999999</c:v>
                </c:pt>
                <c:pt idx="1">
                  <c:v>0.4930928</c:v>
                </c:pt>
                <c:pt idx="2">
                  <c:v>0.44592009999999999</c:v>
                </c:pt>
                <c:pt idx="3">
                  <c:v>0.29349930000000002</c:v>
                </c:pt>
                <c:pt idx="4">
                  <c:v>0.28187400000000001</c:v>
                </c:pt>
                <c:pt idx="5">
                  <c:v>0.34004010000000001</c:v>
                </c:pt>
                <c:pt idx="6">
                  <c:v>0.39277899999999999</c:v>
                </c:pt>
                <c:pt idx="7">
                  <c:v>0.32590019999999997</c:v>
                </c:pt>
                <c:pt idx="8">
                  <c:v>0.30130620000000002</c:v>
                </c:pt>
                <c:pt idx="9">
                  <c:v>0.30543809999999999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A1-4C17-B89D-9699F2889BF7}"/>
            </c:ext>
          </c:extLst>
        </c:ser>
        <c:ser>
          <c:idx val="7"/>
          <c:order val="7"/>
          <c:tx>
            <c:strRef>
              <c:f>Sheet1!$B$10</c:f>
              <c:strCache>
                <c:ptCount val="1"/>
                <c:pt idx="0">
                  <c:v>-2.046780759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Sheet1!$C$2:$L$2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Sheet1!$C$10:$L$10</c:f>
              <c:numCache>
                <c:formatCode>0.00E+00</c:formatCode>
                <c:ptCount val="10"/>
                <c:pt idx="0">
                  <c:v>0.44177840000000002</c:v>
                </c:pt>
                <c:pt idx="1">
                  <c:v>0.51338930000000005</c:v>
                </c:pt>
                <c:pt idx="2">
                  <c:v>0.45221210000000001</c:v>
                </c:pt>
                <c:pt idx="3">
                  <c:v>0.2917804</c:v>
                </c:pt>
                <c:pt idx="4">
                  <c:v>0.3801216</c:v>
                </c:pt>
                <c:pt idx="5">
                  <c:v>0.45536070000000001</c:v>
                </c:pt>
                <c:pt idx="6">
                  <c:v>0.46576919999999999</c:v>
                </c:pt>
                <c:pt idx="7">
                  <c:v>0.36252060000000003</c:v>
                </c:pt>
                <c:pt idx="8">
                  <c:v>0.31556919999999999</c:v>
                </c:pt>
                <c:pt idx="9">
                  <c:v>0.2980602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A1-4C17-B89D-9699F2889BF7}"/>
            </c:ext>
          </c:extLst>
        </c:ser>
        <c:ser>
          <c:idx val="8"/>
          <c:order val="8"/>
          <c:tx>
            <c:strRef>
              <c:f>Sheet1!$B$11</c:f>
              <c:strCache>
                <c:ptCount val="1"/>
                <c:pt idx="0">
                  <c:v>-1.023374954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Sheet1!$C$2:$L$2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Sheet1!$C$11:$L$11</c:f>
              <c:numCache>
                <c:formatCode>0.00E+00</c:formatCode>
                <c:ptCount val="10"/>
                <c:pt idx="0">
                  <c:v>0.46959600000000001</c:v>
                </c:pt>
                <c:pt idx="1">
                  <c:v>0.58083779999999996</c:v>
                </c:pt>
                <c:pt idx="2">
                  <c:v>0.55953109999999995</c:v>
                </c:pt>
                <c:pt idx="3">
                  <c:v>0.54983680000000001</c:v>
                </c:pt>
                <c:pt idx="4">
                  <c:v>0.62316349999999998</c:v>
                </c:pt>
                <c:pt idx="5">
                  <c:v>0.67181900000000006</c:v>
                </c:pt>
                <c:pt idx="6">
                  <c:v>0.65833739999999996</c:v>
                </c:pt>
                <c:pt idx="7">
                  <c:v>0.47388330000000001</c:v>
                </c:pt>
                <c:pt idx="8">
                  <c:v>0.36902790000000002</c:v>
                </c:pt>
                <c:pt idx="9">
                  <c:v>0.2974926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A1-4C17-B89D-9699F2889BF7}"/>
            </c:ext>
          </c:extLst>
        </c:ser>
        <c:ser>
          <c:idx val="9"/>
          <c:order val="9"/>
          <c:tx>
            <c:strRef>
              <c:f>Sheet1!$B$12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Sheet1!$C$2:$L$2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Sheet1!$C$12:$L$12</c:f>
              <c:numCache>
                <c:formatCode>0.00E+00</c:formatCode>
                <c:ptCount val="10"/>
                <c:pt idx="0">
                  <c:v>0.5437208</c:v>
                </c:pt>
                <c:pt idx="1">
                  <c:v>0.63411200000000001</c:v>
                </c:pt>
                <c:pt idx="2">
                  <c:v>0.61021919999999996</c:v>
                </c:pt>
                <c:pt idx="3">
                  <c:v>0.62761909999999999</c:v>
                </c:pt>
                <c:pt idx="4">
                  <c:v>0.69069139999999996</c:v>
                </c:pt>
                <c:pt idx="5">
                  <c:v>0.77435860000000001</c:v>
                </c:pt>
                <c:pt idx="6">
                  <c:v>0.85130589999999995</c:v>
                </c:pt>
                <c:pt idx="7">
                  <c:v>0.74010019999999999</c:v>
                </c:pt>
                <c:pt idx="8">
                  <c:v>0.54470430000000003</c:v>
                </c:pt>
                <c:pt idx="9">
                  <c:v>0.3527438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CA1-4C17-B89D-9699F2889BF7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394175392"/>
        <c:axId val="394176112"/>
        <c:axId val="272111912"/>
      </c:surface3DChart>
      <c:catAx>
        <c:axId val="39417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4176112"/>
        <c:crosses val="autoZero"/>
        <c:auto val="1"/>
        <c:lblAlgn val="ctr"/>
        <c:lblOffset val="100"/>
        <c:noMultiLvlLbl val="0"/>
      </c:catAx>
      <c:valAx>
        <c:axId val="39417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4175392"/>
        <c:crosses val="autoZero"/>
        <c:crossBetween val="midCat"/>
      </c:valAx>
      <c:serAx>
        <c:axId val="2721119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4176112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LF2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2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553937007874017"/>
          <c:y val="0.17171296296296298"/>
          <c:w val="0.69052296587926509"/>
          <c:h val="0.73050769170904462"/>
        </c:manualLayout>
      </c:layout>
      <c:surface3DChart>
        <c:wireframe val="0"/>
        <c:ser>
          <c:idx val="0"/>
          <c:order val="0"/>
          <c:tx>
            <c:strRef>
              <c:f>Sheet1!$B$18</c:f>
              <c:strCache>
                <c:ptCount val="1"/>
                <c:pt idx="0">
                  <c:v>-9.210340372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Sheet1!$C$17:$L$17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Sheet1!$C$18:$L$18</c:f>
              <c:numCache>
                <c:formatCode>0.00E+00</c:formatCode>
                <c:ptCount val="10"/>
                <c:pt idx="0">
                  <c:v>2.630655E-5</c:v>
                </c:pt>
                <c:pt idx="1">
                  <c:v>3.0088880000000001E-5</c:v>
                </c:pt>
                <c:pt idx="2">
                  <c:v>3.3946940000000001E-5</c:v>
                </c:pt>
                <c:pt idx="3">
                  <c:v>3.8379120000000001E-5</c:v>
                </c:pt>
                <c:pt idx="4">
                  <c:v>3.9902910000000001E-5</c:v>
                </c:pt>
                <c:pt idx="5">
                  <c:v>2.3305609999999999E-4</c:v>
                </c:pt>
                <c:pt idx="6">
                  <c:v>5.5270089999999997E-5</c:v>
                </c:pt>
                <c:pt idx="7">
                  <c:v>7.6509359999999993E-5</c:v>
                </c:pt>
                <c:pt idx="8">
                  <c:v>7.6037940000000002E-5</c:v>
                </c:pt>
                <c:pt idx="9">
                  <c:v>1.3321749999999999E-4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0-4F5B-8325-6D156E3B6722}"/>
            </c:ext>
          </c:extLst>
        </c:ser>
        <c:ser>
          <c:idx val="1"/>
          <c:order val="1"/>
          <c:tx>
            <c:strRef>
              <c:f>Sheet1!$B$19</c:f>
              <c:strCache>
                <c:ptCount val="1"/>
                <c:pt idx="0">
                  <c:v>-8.18695463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Sheet1!$C$17:$L$17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Sheet1!$C$19:$L$19</c:f>
              <c:numCache>
                <c:formatCode>0.00E+00</c:formatCode>
                <c:ptCount val="10"/>
                <c:pt idx="0">
                  <c:v>2.631077E-5</c:v>
                </c:pt>
                <c:pt idx="1">
                  <c:v>3.0098380000000002E-5</c:v>
                </c:pt>
                <c:pt idx="2">
                  <c:v>3.3957339999999997E-5</c:v>
                </c:pt>
                <c:pt idx="3">
                  <c:v>3.8392429999999997E-5</c:v>
                </c:pt>
                <c:pt idx="4">
                  <c:v>3.9916239999999999E-5</c:v>
                </c:pt>
                <c:pt idx="5">
                  <c:v>2.331255E-4</c:v>
                </c:pt>
                <c:pt idx="6">
                  <c:v>5.5308079999999999E-5</c:v>
                </c:pt>
                <c:pt idx="7">
                  <c:v>7.6557970000000006E-5</c:v>
                </c:pt>
                <c:pt idx="8">
                  <c:v>7.605438E-5</c:v>
                </c:pt>
                <c:pt idx="9">
                  <c:v>1.332111E-4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C0-4F5B-8325-6D156E3B6722}"/>
            </c:ext>
          </c:extLst>
        </c:ser>
        <c:ser>
          <c:idx val="2"/>
          <c:order val="2"/>
          <c:tx>
            <c:strRef>
              <c:f>Sheet1!$B$20</c:f>
              <c:strCache>
                <c:ptCount val="1"/>
                <c:pt idx="0">
                  <c:v>-7.163602823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Sheet1!$C$17:$L$17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Sheet1!$C$20:$L$20</c:f>
              <c:numCache>
                <c:formatCode>0.00E+00</c:formatCode>
                <c:ptCount val="10"/>
                <c:pt idx="0">
                  <c:v>2.6315330000000001E-5</c:v>
                </c:pt>
                <c:pt idx="1">
                  <c:v>3.0114540000000001E-5</c:v>
                </c:pt>
                <c:pt idx="2">
                  <c:v>3.398305E-5</c:v>
                </c:pt>
                <c:pt idx="3">
                  <c:v>3.8418550000000002E-5</c:v>
                </c:pt>
                <c:pt idx="4">
                  <c:v>3.9943179999999999E-5</c:v>
                </c:pt>
                <c:pt idx="5">
                  <c:v>2.3294200000000001E-4</c:v>
                </c:pt>
                <c:pt idx="6">
                  <c:v>5.5370859999999999E-5</c:v>
                </c:pt>
                <c:pt idx="7">
                  <c:v>7.6679820000000005E-5</c:v>
                </c:pt>
                <c:pt idx="8">
                  <c:v>7.6125269999999999E-5</c:v>
                </c:pt>
                <c:pt idx="9">
                  <c:v>1.3319300000000001E-4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C0-4F5B-8325-6D156E3B6722}"/>
            </c:ext>
          </c:extLst>
        </c:ser>
        <c:ser>
          <c:idx val="3"/>
          <c:order val="3"/>
          <c:tx>
            <c:strRef>
              <c:f>Sheet1!$B$21</c:f>
              <c:strCache>
                <c:ptCount val="1"/>
                <c:pt idx="0">
                  <c:v>-6.140243016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Sheet1!$C$17:$L$17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Sheet1!$C$21:$L$21</c:f>
              <c:numCache>
                <c:formatCode>0.00E+00</c:formatCode>
                <c:ptCount val="10"/>
                <c:pt idx="0">
                  <c:v>2.6342800000000001E-5</c:v>
                </c:pt>
                <c:pt idx="1">
                  <c:v>3.0169189999999998E-5</c:v>
                </c:pt>
                <c:pt idx="2">
                  <c:v>3.4053919999999997E-5</c:v>
                </c:pt>
                <c:pt idx="3">
                  <c:v>3.8483060000000001E-5</c:v>
                </c:pt>
                <c:pt idx="4">
                  <c:v>3.9882880000000003E-5</c:v>
                </c:pt>
                <c:pt idx="5">
                  <c:v>2.3343539999999999E-4</c:v>
                </c:pt>
                <c:pt idx="6">
                  <c:v>5.55646E-5</c:v>
                </c:pt>
                <c:pt idx="7">
                  <c:v>7.7001469999999996E-5</c:v>
                </c:pt>
                <c:pt idx="8">
                  <c:v>7.6450529999999998E-5</c:v>
                </c:pt>
                <c:pt idx="9">
                  <c:v>1.331583E-4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C0-4F5B-8325-6D156E3B6722}"/>
            </c:ext>
          </c:extLst>
        </c:ser>
        <c:ser>
          <c:idx val="4"/>
          <c:order val="4"/>
          <c:tx>
            <c:strRef>
              <c:f>Sheet1!$B$22</c:f>
              <c:strCache>
                <c:ptCount val="1"/>
                <c:pt idx="0">
                  <c:v>-5.116862852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Sheet1!$C$17:$L$17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Sheet1!$C$22:$L$22</c:f>
              <c:numCache>
                <c:formatCode>0.00E+00</c:formatCode>
                <c:ptCount val="10"/>
                <c:pt idx="0">
                  <c:v>2.641393E-5</c:v>
                </c:pt>
                <c:pt idx="1">
                  <c:v>3.0317050000000001E-5</c:v>
                </c:pt>
                <c:pt idx="2">
                  <c:v>3.4266449999999998E-5</c:v>
                </c:pt>
                <c:pt idx="3">
                  <c:v>3.8789350000000002E-5</c:v>
                </c:pt>
                <c:pt idx="4">
                  <c:v>3.9845290000000002E-5</c:v>
                </c:pt>
                <c:pt idx="5">
                  <c:v>2.3403430000000001E-4</c:v>
                </c:pt>
                <c:pt idx="6">
                  <c:v>5.6037179999999998E-5</c:v>
                </c:pt>
                <c:pt idx="7">
                  <c:v>7.7834919999999997E-5</c:v>
                </c:pt>
                <c:pt idx="8">
                  <c:v>7.7034560000000007E-5</c:v>
                </c:pt>
                <c:pt idx="9">
                  <c:v>1.3316080000000001E-4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C0-4F5B-8325-6D156E3B6722}"/>
            </c:ext>
          </c:extLst>
        </c:ser>
        <c:ser>
          <c:idx val="5"/>
          <c:order val="5"/>
          <c:tx>
            <c:strRef>
              <c:f>Sheet1!$B$23</c:f>
              <c:strCache>
                <c:ptCount val="1"/>
                <c:pt idx="0">
                  <c:v>-4.093484932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Sheet1!$C$17:$L$17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Sheet1!$C$23:$L$23</c:f>
              <c:numCache>
                <c:formatCode>0.00E+00</c:formatCode>
                <c:ptCount val="10"/>
                <c:pt idx="0">
                  <c:v>2.6621050000000002E-5</c:v>
                </c:pt>
                <c:pt idx="1">
                  <c:v>3.0690669999999999E-5</c:v>
                </c:pt>
                <c:pt idx="2">
                  <c:v>3.4854370000000001E-5</c:v>
                </c:pt>
                <c:pt idx="3">
                  <c:v>3.9547510000000001E-5</c:v>
                </c:pt>
                <c:pt idx="4">
                  <c:v>3.9840750000000003E-5</c:v>
                </c:pt>
                <c:pt idx="5">
                  <c:v>2.3679659999999999E-4</c:v>
                </c:pt>
                <c:pt idx="6">
                  <c:v>5.7612470000000002E-5</c:v>
                </c:pt>
                <c:pt idx="7">
                  <c:v>7.9930240000000005E-5</c:v>
                </c:pt>
                <c:pt idx="8">
                  <c:v>7.9039620000000003E-5</c:v>
                </c:pt>
                <c:pt idx="9">
                  <c:v>1.3316639999999999E-4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C0-4F5B-8325-6D156E3B6722}"/>
            </c:ext>
          </c:extLst>
        </c:ser>
        <c:ser>
          <c:idx val="6"/>
          <c:order val="6"/>
          <c:tx>
            <c:strRef>
              <c:f>Sheet1!$B$24</c:f>
              <c:strCache>
                <c:ptCount val="1"/>
                <c:pt idx="0">
                  <c:v>-3.070111052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Sheet1!$C$17:$L$17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Sheet1!$C$24:$L$24</c:f>
              <c:numCache>
                <c:formatCode>0.00E+00</c:formatCode>
                <c:ptCount val="10"/>
                <c:pt idx="0">
                  <c:v>2.7258850000000001E-5</c:v>
                </c:pt>
                <c:pt idx="1">
                  <c:v>3.1892169999999997E-5</c:v>
                </c:pt>
                <c:pt idx="2">
                  <c:v>3.6520399999999997E-5</c:v>
                </c:pt>
                <c:pt idx="3">
                  <c:v>4.1586350000000002E-5</c:v>
                </c:pt>
                <c:pt idx="4">
                  <c:v>4.0920649999999999E-5</c:v>
                </c:pt>
                <c:pt idx="5">
                  <c:v>2.5102609999999999E-4</c:v>
                </c:pt>
                <c:pt idx="6">
                  <c:v>6.3084710000000003E-5</c:v>
                </c:pt>
                <c:pt idx="7">
                  <c:v>8.6582599999999993E-5</c:v>
                </c:pt>
                <c:pt idx="8">
                  <c:v>8.5048010000000004E-5</c:v>
                </c:pt>
                <c:pt idx="9">
                  <c:v>1.332335E-4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C0-4F5B-8325-6D156E3B6722}"/>
            </c:ext>
          </c:extLst>
        </c:ser>
        <c:ser>
          <c:idx val="7"/>
          <c:order val="7"/>
          <c:tx>
            <c:strRef>
              <c:f>Sheet1!$B$25</c:f>
              <c:strCache>
                <c:ptCount val="1"/>
                <c:pt idx="0">
                  <c:v>-2.046780759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Sheet1!$C$17:$L$17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Sheet1!$C$25:$L$25</c:f>
              <c:numCache>
                <c:formatCode>0.00E+00</c:formatCode>
                <c:ptCount val="10"/>
                <c:pt idx="0">
                  <c:v>9.5244759999999997E-5</c:v>
                </c:pt>
                <c:pt idx="1">
                  <c:v>3.6383819999999997E-5</c:v>
                </c:pt>
                <c:pt idx="2">
                  <c:v>4.1255270000000003E-5</c:v>
                </c:pt>
                <c:pt idx="3">
                  <c:v>4.6269810000000003E-5</c:v>
                </c:pt>
                <c:pt idx="4">
                  <c:v>5.3311840000000003E-5</c:v>
                </c:pt>
                <c:pt idx="5">
                  <c:v>3.6572999999999998E-4</c:v>
                </c:pt>
                <c:pt idx="6">
                  <c:v>8.6959540000000003E-5</c:v>
                </c:pt>
                <c:pt idx="7">
                  <c:v>1.05816E-4</c:v>
                </c:pt>
                <c:pt idx="8">
                  <c:v>9.9967939999999998E-5</c:v>
                </c:pt>
                <c:pt idx="9">
                  <c:v>1.3412410000000001E-4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1C0-4F5B-8325-6D156E3B6722}"/>
            </c:ext>
          </c:extLst>
        </c:ser>
        <c:ser>
          <c:idx val="8"/>
          <c:order val="8"/>
          <c:tx>
            <c:strRef>
              <c:f>Sheet1!$B$26</c:f>
              <c:strCache>
                <c:ptCount val="1"/>
                <c:pt idx="0">
                  <c:v>-1.023374954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Sheet1!$C$17:$L$17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Sheet1!$C$26:$L$26</c:f>
              <c:numCache>
                <c:formatCode>0.00E+00</c:formatCode>
                <c:ptCount val="10"/>
                <c:pt idx="0">
                  <c:v>8.6570310000000004E-4</c:v>
                </c:pt>
                <c:pt idx="1">
                  <c:v>2.302704E-4</c:v>
                </c:pt>
                <c:pt idx="2">
                  <c:v>1.5410869999999999E-4</c:v>
                </c:pt>
                <c:pt idx="3">
                  <c:v>1.6260020000000001E-4</c:v>
                </c:pt>
                <c:pt idx="4">
                  <c:v>1.8677289999999999E-4</c:v>
                </c:pt>
                <c:pt idx="5">
                  <c:v>1.0119339999999999E-3</c:v>
                </c:pt>
                <c:pt idx="6">
                  <c:v>1.9492190000000001E-4</c:v>
                </c:pt>
                <c:pt idx="7">
                  <c:v>1.7916669999999999E-4</c:v>
                </c:pt>
                <c:pt idx="8">
                  <c:v>1.5393000000000001E-4</c:v>
                </c:pt>
                <c:pt idx="9">
                  <c:v>1.337283E-4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C0-4F5B-8325-6D156E3B6722}"/>
            </c:ext>
          </c:extLst>
        </c:ser>
        <c:ser>
          <c:idx val="9"/>
          <c:order val="9"/>
          <c:tx>
            <c:strRef>
              <c:f>Sheet1!$B$27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Sheet1!$C$17:$L$17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Sheet1!$C$27:$L$27</c:f>
              <c:numCache>
                <c:formatCode>0.00E+00</c:formatCode>
                <c:ptCount val="10"/>
                <c:pt idx="0">
                  <c:v>6.4168020000000001E-3</c:v>
                </c:pt>
                <c:pt idx="1">
                  <c:v>2.0795789999999998E-3</c:v>
                </c:pt>
                <c:pt idx="2">
                  <c:v>1.446405E-3</c:v>
                </c:pt>
                <c:pt idx="3">
                  <c:v>1.278937E-3</c:v>
                </c:pt>
                <c:pt idx="4">
                  <c:v>1.133645E-3</c:v>
                </c:pt>
                <c:pt idx="5">
                  <c:v>5.4365359999999996E-3</c:v>
                </c:pt>
                <c:pt idx="6">
                  <c:v>9.4765080000000002E-4</c:v>
                </c:pt>
                <c:pt idx="7">
                  <c:v>5.5750039999999997E-4</c:v>
                </c:pt>
                <c:pt idx="8">
                  <c:v>3.5145489999999999E-4</c:v>
                </c:pt>
                <c:pt idx="9">
                  <c:v>1.6804870000000001E-4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1C0-4F5B-8325-6D156E3B6722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43396512"/>
        <c:axId val="743396872"/>
        <c:axId val="752121864"/>
      </c:surface3DChart>
      <c:catAx>
        <c:axId val="743396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3396872"/>
        <c:crosses val="autoZero"/>
        <c:auto val="1"/>
        <c:lblAlgn val="ctr"/>
        <c:lblOffset val="100"/>
        <c:noMultiLvlLbl val="0"/>
      </c:catAx>
      <c:valAx>
        <c:axId val="743396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3396512"/>
        <c:crosses val="autoZero"/>
        <c:crossBetween val="midCat"/>
      </c:valAx>
      <c:serAx>
        <c:axId val="7521218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3396872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LF3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071036786036422"/>
          <c:y val="0.14663349917081261"/>
          <c:w val="0.77004802418273566"/>
          <c:h val="0.76025411002729149"/>
        </c:manualLayout>
      </c:layout>
      <c:surface3DChart>
        <c:wireframe val="0"/>
        <c:ser>
          <c:idx val="0"/>
          <c:order val="0"/>
          <c:tx>
            <c:strRef>
              <c:f>Sheet1!$B$33</c:f>
              <c:strCache>
                <c:ptCount val="1"/>
                <c:pt idx="0">
                  <c:v>-9.210340372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Sheet1!$C$32:$L$32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Sheet1!$C$33:$L$33</c:f>
              <c:numCache>
                <c:formatCode>0.00E+00</c:formatCode>
                <c:ptCount val="10"/>
                <c:pt idx="0">
                  <c:v>0.41494690000000001</c:v>
                </c:pt>
                <c:pt idx="1">
                  <c:v>0.4998455</c:v>
                </c:pt>
                <c:pt idx="2">
                  <c:v>0.44651809999999997</c:v>
                </c:pt>
                <c:pt idx="3">
                  <c:v>0.3532344</c:v>
                </c:pt>
                <c:pt idx="4">
                  <c:v>0.3625081</c:v>
                </c:pt>
                <c:pt idx="5">
                  <c:v>0.347051</c:v>
                </c:pt>
                <c:pt idx="6">
                  <c:v>0.34818640000000001</c:v>
                </c:pt>
                <c:pt idx="7">
                  <c:v>0.36802760000000001</c:v>
                </c:pt>
                <c:pt idx="8">
                  <c:v>0.4067268</c:v>
                </c:pt>
                <c:pt idx="9">
                  <c:v>0.44198969999999999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F-4DF6-97C2-EE72E9D70222}"/>
            </c:ext>
          </c:extLst>
        </c:ser>
        <c:ser>
          <c:idx val="1"/>
          <c:order val="1"/>
          <c:tx>
            <c:strRef>
              <c:f>Sheet1!$B$34</c:f>
              <c:strCache>
                <c:ptCount val="1"/>
                <c:pt idx="0">
                  <c:v>-8.18695463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Sheet1!$C$32:$L$32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Sheet1!$C$34:$L$34</c:f>
              <c:numCache>
                <c:formatCode>0.00E+00</c:formatCode>
                <c:ptCount val="10"/>
                <c:pt idx="0">
                  <c:v>0.4149737</c:v>
                </c:pt>
                <c:pt idx="1">
                  <c:v>0.49972709999999998</c:v>
                </c:pt>
                <c:pt idx="2">
                  <c:v>0.44640940000000001</c:v>
                </c:pt>
                <c:pt idx="3">
                  <c:v>0.3533173</c:v>
                </c:pt>
                <c:pt idx="4">
                  <c:v>0.36258190000000001</c:v>
                </c:pt>
                <c:pt idx="5">
                  <c:v>0.34712140000000002</c:v>
                </c:pt>
                <c:pt idx="6">
                  <c:v>0.34824040000000001</c:v>
                </c:pt>
                <c:pt idx="7">
                  <c:v>0.36811139999999998</c:v>
                </c:pt>
                <c:pt idx="8">
                  <c:v>0.40673609999999999</c:v>
                </c:pt>
                <c:pt idx="9">
                  <c:v>0.44199060000000001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3F-4DF6-97C2-EE72E9D70222}"/>
            </c:ext>
          </c:extLst>
        </c:ser>
        <c:ser>
          <c:idx val="2"/>
          <c:order val="2"/>
          <c:tx>
            <c:strRef>
              <c:f>Sheet1!$B$35</c:f>
              <c:strCache>
                <c:ptCount val="1"/>
                <c:pt idx="0">
                  <c:v>-7.163602823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Sheet1!$C$32:$L$32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Sheet1!$C$35:$L$35</c:f>
              <c:numCache>
                <c:formatCode>0.00E+00</c:formatCode>
                <c:ptCount val="10"/>
                <c:pt idx="0">
                  <c:v>0.41504079999999999</c:v>
                </c:pt>
                <c:pt idx="1">
                  <c:v>0.49979309999999999</c:v>
                </c:pt>
                <c:pt idx="2">
                  <c:v>0.44592989999999999</c:v>
                </c:pt>
                <c:pt idx="3">
                  <c:v>0.35327819999999999</c:v>
                </c:pt>
                <c:pt idx="4">
                  <c:v>0.36265350000000002</c:v>
                </c:pt>
                <c:pt idx="5">
                  <c:v>0.34688210000000003</c:v>
                </c:pt>
                <c:pt idx="6">
                  <c:v>0.34818470000000001</c:v>
                </c:pt>
                <c:pt idx="7">
                  <c:v>0.3680158</c:v>
                </c:pt>
                <c:pt idx="8">
                  <c:v>0.40694380000000002</c:v>
                </c:pt>
                <c:pt idx="9">
                  <c:v>0.44199310000000003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3F-4DF6-97C2-EE72E9D70222}"/>
            </c:ext>
          </c:extLst>
        </c:ser>
        <c:ser>
          <c:idx val="3"/>
          <c:order val="3"/>
          <c:tx>
            <c:strRef>
              <c:f>Sheet1!$B$36</c:f>
              <c:strCache>
                <c:ptCount val="1"/>
                <c:pt idx="0">
                  <c:v>-6.140243016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Sheet1!$C$32:$L$32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Sheet1!$C$36:$L$36</c:f>
              <c:numCache>
                <c:formatCode>0.00E+00</c:formatCode>
                <c:ptCount val="10"/>
                <c:pt idx="0">
                  <c:v>0.4145914</c:v>
                </c:pt>
                <c:pt idx="1">
                  <c:v>0.49951800000000002</c:v>
                </c:pt>
                <c:pt idx="2">
                  <c:v>0.445191</c:v>
                </c:pt>
                <c:pt idx="3">
                  <c:v>0.35305110000000001</c:v>
                </c:pt>
                <c:pt idx="4">
                  <c:v>0.36245240000000001</c:v>
                </c:pt>
                <c:pt idx="5">
                  <c:v>0.34674280000000002</c:v>
                </c:pt>
                <c:pt idx="6">
                  <c:v>0.34810740000000001</c:v>
                </c:pt>
                <c:pt idx="7">
                  <c:v>0.36825380000000002</c:v>
                </c:pt>
                <c:pt idx="8">
                  <c:v>0.40670630000000002</c:v>
                </c:pt>
                <c:pt idx="9">
                  <c:v>0.44180269999999999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3F-4DF6-97C2-EE72E9D70222}"/>
            </c:ext>
          </c:extLst>
        </c:ser>
        <c:ser>
          <c:idx val="4"/>
          <c:order val="4"/>
          <c:tx>
            <c:strRef>
              <c:f>Sheet1!$B$37</c:f>
              <c:strCache>
                <c:ptCount val="1"/>
                <c:pt idx="0">
                  <c:v>-5.116862852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Sheet1!$C$32:$L$32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Sheet1!$C$37:$L$37</c:f>
              <c:numCache>
                <c:formatCode>0.00E+00</c:formatCode>
                <c:ptCount val="10"/>
                <c:pt idx="0">
                  <c:v>0.4147691</c:v>
                </c:pt>
                <c:pt idx="1">
                  <c:v>0.49851220000000002</c:v>
                </c:pt>
                <c:pt idx="2">
                  <c:v>0.44226989999999999</c:v>
                </c:pt>
                <c:pt idx="3">
                  <c:v>0.35385349999999999</c:v>
                </c:pt>
                <c:pt idx="4">
                  <c:v>0.36150919999999998</c:v>
                </c:pt>
                <c:pt idx="5">
                  <c:v>0.34703440000000002</c:v>
                </c:pt>
                <c:pt idx="6">
                  <c:v>0.34783750000000002</c:v>
                </c:pt>
                <c:pt idx="7">
                  <c:v>0.36839430000000001</c:v>
                </c:pt>
                <c:pt idx="8">
                  <c:v>0.40700360000000002</c:v>
                </c:pt>
                <c:pt idx="9">
                  <c:v>0.4416292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3F-4DF6-97C2-EE72E9D70222}"/>
            </c:ext>
          </c:extLst>
        </c:ser>
        <c:ser>
          <c:idx val="5"/>
          <c:order val="5"/>
          <c:tx>
            <c:strRef>
              <c:f>Sheet1!$B$38</c:f>
              <c:strCache>
                <c:ptCount val="1"/>
                <c:pt idx="0">
                  <c:v>-4.093484932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Sheet1!$C$32:$L$32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Sheet1!$C$38:$L$38</c:f>
              <c:numCache>
                <c:formatCode>0.00E+00</c:formatCode>
                <c:ptCount val="10"/>
                <c:pt idx="0">
                  <c:v>0.41349160000000001</c:v>
                </c:pt>
                <c:pt idx="1">
                  <c:v>0.49641879999999999</c:v>
                </c:pt>
                <c:pt idx="2">
                  <c:v>0.43417790000000001</c:v>
                </c:pt>
                <c:pt idx="3">
                  <c:v>0.35766039999999999</c:v>
                </c:pt>
                <c:pt idx="4">
                  <c:v>0.36196270000000003</c:v>
                </c:pt>
                <c:pt idx="5">
                  <c:v>0.34732439999999998</c:v>
                </c:pt>
                <c:pt idx="6">
                  <c:v>0.34873399999999999</c:v>
                </c:pt>
                <c:pt idx="7">
                  <c:v>0.36946669999999998</c:v>
                </c:pt>
                <c:pt idx="8">
                  <c:v>0.4068947</c:v>
                </c:pt>
                <c:pt idx="9">
                  <c:v>0.44214100000000001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3F-4DF6-97C2-EE72E9D70222}"/>
            </c:ext>
          </c:extLst>
        </c:ser>
        <c:ser>
          <c:idx val="6"/>
          <c:order val="6"/>
          <c:tx>
            <c:strRef>
              <c:f>Sheet1!$B$39</c:f>
              <c:strCache>
                <c:ptCount val="1"/>
                <c:pt idx="0">
                  <c:v>-3.070111052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Sheet1!$C$32:$L$32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Sheet1!$C$39:$L$39</c:f>
              <c:numCache>
                <c:formatCode>0.00E+00</c:formatCode>
                <c:ptCount val="10"/>
                <c:pt idx="0">
                  <c:v>0.40913840000000001</c:v>
                </c:pt>
                <c:pt idx="1">
                  <c:v>0.49028329999999998</c:v>
                </c:pt>
                <c:pt idx="2">
                  <c:v>0.4096727</c:v>
                </c:pt>
                <c:pt idx="3">
                  <c:v>0.36803130000000001</c:v>
                </c:pt>
                <c:pt idx="4">
                  <c:v>0.36295470000000002</c:v>
                </c:pt>
                <c:pt idx="5">
                  <c:v>0.34852030000000001</c:v>
                </c:pt>
                <c:pt idx="6">
                  <c:v>0.3502593</c:v>
                </c:pt>
                <c:pt idx="7">
                  <c:v>0.3706219</c:v>
                </c:pt>
                <c:pt idx="8">
                  <c:v>0.40688479999999999</c:v>
                </c:pt>
                <c:pt idx="9">
                  <c:v>0.44444060000000002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3F-4DF6-97C2-EE72E9D70222}"/>
            </c:ext>
          </c:extLst>
        </c:ser>
        <c:ser>
          <c:idx val="7"/>
          <c:order val="7"/>
          <c:tx>
            <c:strRef>
              <c:f>Sheet1!$B$40</c:f>
              <c:strCache>
                <c:ptCount val="1"/>
                <c:pt idx="0">
                  <c:v>-2.046780759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Sheet1!$C$32:$L$32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Sheet1!$C$40:$L$40</c:f>
              <c:numCache>
                <c:formatCode>0.00E+00</c:formatCode>
                <c:ptCount val="10"/>
                <c:pt idx="0">
                  <c:v>0.43406470000000003</c:v>
                </c:pt>
                <c:pt idx="1">
                  <c:v>0.47770550000000001</c:v>
                </c:pt>
                <c:pt idx="2">
                  <c:v>0.36798570000000003</c:v>
                </c:pt>
                <c:pt idx="3">
                  <c:v>0.36998449999999999</c:v>
                </c:pt>
                <c:pt idx="4">
                  <c:v>0.36246929999999999</c:v>
                </c:pt>
                <c:pt idx="5">
                  <c:v>0.34821220000000003</c:v>
                </c:pt>
                <c:pt idx="6">
                  <c:v>0.34771429999999998</c:v>
                </c:pt>
                <c:pt idx="7">
                  <c:v>0.37372280000000002</c:v>
                </c:pt>
                <c:pt idx="8">
                  <c:v>0.41186529999999999</c:v>
                </c:pt>
                <c:pt idx="9">
                  <c:v>0.44893460000000002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3F-4DF6-97C2-EE72E9D70222}"/>
            </c:ext>
          </c:extLst>
        </c:ser>
        <c:ser>
          <c:idx val="8"/>
          <c:order val="8"/>
          <c:tx>
            <c:strRef>
              <c:f>Sheet1!$B$41</c:f>
              <c:strCache>
                <c:ptCount val="1"/>
                <c:pt idx="0">
                  <c:v>-1.023374954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Sheet1!$C$32:$L$32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Sheet1!$C$41:$L$41</c:f>
              <c:numCache>
                <c:formatCode>0.00E+00</c:formatCode>
                <c:ptCount val="10"/>
                <c:pt idx="0">
                  <c:v>0.86654529999999996</c:v>
                </c:pt>
                <c:pt idx="1">
                  <c:v>0.35938140000000002</c:v>
                </c:pt>
                <c:pt idx="2">
                  <c:v>8.8886690000000002</c:v>
                </c:pt>
                <c:pt idx="3">
                  <c:v>27.376850000000001</c:v>
                </c:pt>
                <c:pt idx="4">
                  <c:v>0.30007539999999999</c:v>
                </c:pt>
                <c:pt idx="5">
                  <c:v>0.3282873</c:v>
                </c:pt>
                <c:pt idx="6">
                  <c:v>0.30523879999999998</c:v>
                </c:pt>
                <c:pt idx="7">
                  <c:v>0.35766559999999997</c:v>
                </c:pt>
                <c:pt idx="8">
                  <c:v>0.41667789999999999</c:v>
                </c:pt>
                <c:pt idx="9">
                  <c:v>0.45487610000000001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3F-4DF6-97C2-EE72E9D70222}"/>
            </c:ext>
          </c:extLst>
        </c:ser>
        <c:ser>
          <c:idx val="9"/>
          <c:order val="9"/>
          <c:tx>
            <c:strRef>
              <c:f>Sheet1!$B$42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Sheet1!$C$32:$L$32</c:f>
              <c:numCache>
                <c:formatCode>General</c:formatCode>
                <c:ptCount val="1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</c:numCache>
            </c:numRef>
          </c:cat>
          <c:val>
            <c:numRef>
              <c:f>Sheet1!$C$42:$L$42</c:f>
              <c:numCache>
                <c:formatCode>0.00E+00</c:formatCode>
                <c:ptCount val="10"/>
                <c:pt idx="0">
                  <c:v>3.8594909999999998</c:v>
                </c:pt>
                <c:pt idx="1">
                  <c:v>9.2611880000000006</c:v>
                </c:pt>
                <c:pt idx="2">
                  <c:v>54.817430000000002</c:v>
                </c:pt>
                <c:pt idx="3">
                  <c:v>129.77869999999999</c:v>
                </c:pt>
                <c:pt idx="4">
                  <c:v>49.144179999999999</c:v>
                </c:pt>
                <c:pt idx="5">
                  <c:v>52.605989999999998</c:v>
                </c:pt>
                <c:pt idx="6">
                  <c:v>164.244</c:v>
                </c:pt>
                <c:pt idx="7">
                  <c:v>204.86770000000001</c:v>
                </c:pt>
                <c:pt idx="8">
                  <c:v>211.51580000000001</c:v>
                </c:pt>
                <c:pt idx="9">
                  <c:v>0.453343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23F-4DF6-97C2-EE72E9D70222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744681800"/>
        <c:axId val="744688280"/>
        <c:axId val="679150344"/>
      </c:surface3DChart>
      <c:catAx>
        <c:axId val="744681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4688280"/>
        <c:crosses val="autoZero"/>
        <c:auto val="1"/>
        <c:lblAlgn val="ctr"/>
        <c:lblOffset val="100"/>
        <c:noMultiLvlLbl val="0"/>
      </c:catAx>
      <c:valAx>
        <c:axId val="74468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4681800"/>
        <c:crosses val="autoZero"/>
        <c:crossBetween val="midCat"/>
      </c:valAx>
      <c:serAx>
        <c:axId val="6791503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4688280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14286</xdr:colOff>
      <xdr:row>2</xdr:row>
      <xdr:rowOff>109536</xdr:rowOff>
    </xdr:from>
    <xdr:to>
      <xdr:col>20</xdr:col>
      <xdr:colOff>609599</xdr:colOff>
      <xdr:row>26</xdr:row>
      <xdr:rowOff>47625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538CB21-3430-4CB9-BB30-F331D15DD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209550</xdr:colOff>
      <xdr:row>26</xdr:row>
      <xdr:rowOff>185737</xdr:rowOff>
    </xdr:from>
    <xdr:to>
      <xdr:col>21</xdr:col>
      <xdr:colOff>476250</xdr:colOff>
      <xdr:row>45</xdr:row>
      <xdr:rowOff>161925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9FCCFA3A-4509-58DC-FF5A-E7A1A591B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647700</xdr:colOff>
      <xdr:row>46</xdr:row>
      <xdr:rowOff>28575</xdr:rowOff>
    </xdr:from>
    <xdr:to>
      <xdr:col>21</xdr:col>
      <xdr:colOff>628650</xdr:colOff>
      <xdr:row>64</xdr:row>
      <xdr:rowOff>85725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223565F6-1EAC-56D2-C981-D38D80895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8D1C-A5A7-4492-AF15-866ED8DCB4E1}">
  <dimension ref="A1:L56"/>
  <sheetViews>
    <sheetView tabSelected="1" topLeftCell="D7" zoomScaleNormal="100" workbookViewId="0">
      <selection activeCell="W53" sqref="W53:W54"/>
    </sheetView>
  </sheetViews>
  <sheetFormatPr defaultRowHeight="16.5" x14ac:dyDescent="0.3"/>
  <sheetData>
    <row r="1" spans="1:12" x14ac:dyDescent="0.3">
      <c r="A1" t="s">
        <v>0</v>
      </c>
      <c r="C1" t="s">
        <v>2</v>
      </c>
    </row>
    <row r="2" spans="1:12" x14ac:dyDescent="0.3">
      <c r="A2" t="s">
        <v>1</v>
      </c>
      <c r="C2" s="1">
        <v>0.05</v>
      </c>
      <c r="D2" s="1">
        <v>0.15</v>
      </c>
      <c r="E2">
        <v>0.25</v>
      </c>
      <c r="F2">
        <v>0.35</v>
      </c>
      <c r="G2">
        <v>0.45</v>
      </c>
      <c r="H2" s="1">
        <v>0.55000000000000004</v>
      </c>
      <c r="I2" s="1">
        <v>0.65</v>
      </c>
      <c r="J2" s="1">
        <v>0.75</v>
      </c>
      <c r="K2" s="1">
        <v>0.85</v>
      </c>
      <c r="L2" s="1">
        <v>0.95</v>
      </c>
    </row>
    <row r="3" spans="1:12" x14ac:dyDescent="0.3">
      <c r="A3" s="2">
        <v>1E-4</v>
      </c>
      <c r="B3">
        <f>LN(A3)</f>
        <v>-9.2103403719761818</v>
      </c>
      <c r="C3" s="2">
        <v>0.43048779999999998</v>
      </c>
      <c r="D3" s="2">
        <v>0.48033189999999998</v>
      </c>
      <c r="E3" s="2">
        <v>0.4434343</v>
      </c>
      <c r="F3" s="2">
        <v>0.30196089999999998</v>
      </c>
      <c r="G3" s="2">
        <v>0.2478532</v>
      </c>
      <c r="H3" s="2">
        <v>0.27690090000000001</v>
      </c>
      <c r="I3" s="2">
        <v>0.34436169999999999</v>
      </c>
      <c r="J3" s="2">
        <v>0.31179030000000002</v>
      </c>
      <c r="K3" s="2">
        <v>0.3017418</v>
      </c>
      <c r="L3" s="2">
        <v>0.30916549999999998</v>
      </c>
    </row>
    <row r="4" spans="1:12" x14ac:dyDescent="0.3">
      <c r="A4" s="2">
        <v>2.7826000000000001E-4</v>
      </c>
      <c r="B4">
        <f t="shared" ref="B4:B12" si="0">LN(A4)</f>
        <v>-8.1869546295505433</v>
      </c>
      <c r="C4" s="2">
        <v>0.43048779999999998</v>
      </c>
      <c r="D4" s="2">
        <v>0.48033189999999998</v>
      </c>
      <c r="E4" s="2">
        <v>0.4434343</v>
      </c>
      <c r="F4" s="2">
        <v>0.30191289999999998</v>
      </c>
      <c r="G4" s="2">
        <v>0.24787110000000001</v>
      </c>
      <c r="H4" s="2">
        <v>0.27706209999999998</v>
      </c>
      <c r="I4" s="2">
        <v>0.3444565</v>
      </c>
      <c r="J4" s="2">
        <v>0.31179030000000002</v>
      </c>
      <c r="K4" s="2">
        <v>0.30180180000000001</v>
      </c>
      <c r="L4" s="2">
        <v>0.30916549999999998</v>
      </c>
    </row>
    <row r="5" spans="1:12" x14ac:dyDescent="0.3">
      <c r="A5" s="2">
        <v>7.7426000000000003E-4</v>
      </c>
      <c r="B5">
        <f t="shared" si="0"/>
        <v>-7.163602823469474</v>
      </c>
      <c r="C5" s="2">
        <v>0.43060549999999997</v>
      </c>
      <c r="D5" s="2">
        <v>0.48049560000000002</v>
      </c>
      <c r="E5" s="2">
        <v>0.4434767</v>
      </c>
      <c r="F5" s="2">
        <v>0.30186499999999999</v>
      </c>
      <c r="G5" s="2">
        <v>0.2479856</v>
      </c>
      <c r="H5" s="2">
        <v>0.2779626</v>
      </c>
      <c r="I5" s="2">
        <v>0.34498990000000002</v>
      </c>
      <c r="J5" s="2">
        <v>0.31184539999999999</v>
      </c>
      <c r="K5" s="2">
        <v>0.30186960000000002</v>
      </c>
      <c r="L5" s="2">
        <v>0.30916549999999998</v>
      </c>
    </row>
    <row r="6" spans="1:12" x14ac:dyDescent="0.3">
      <c r="A6" s="2">
        <v>2.1543999999999999E-3</v>
      </c>
      <c r="B6">
        <f t="shared" si="0"/>
        <v>-6.1402430164668846</v>
      </c>
      <c r="C6" s="2">
        <v>0.43069079999999998</v>
      </c>
      <c r="D6" s="2">
        <v>0.48079690000000003</v>
      </c>
      <c r="E6" s="2">
        <v>0.44360440000000001</v>
      </c>
      <c r="F6" s="2">
        <v>0.30179650000000002</v>
      </c>
      <c r="G6" s="2">
        <v>0.24915780000000001</v>
      </c>
      <c r="H6" s="2">
        <v>0.2792984</v>
      </c>
      <c r="I6" s="2">
        <v>0.34637119999999999</v>
      </c>
      <c r="J6" s="2">
        <v>0.31207430000000003</v>
      </c>
      <c r="K6" s="2">
        <v>0.30155510000000002</v>
      </c>
      <c r="L6" s="2">
        <v>0.3091293</v>
      </c>
    </row>
    <row r="7" spans="1:12" x14ac:dyDescent="0.3">
      <c r="A7" s="2">
        <v>5.9947999999999998E-3</v>
      </c>
      <c r="B7">
        <f t="shared" si="0"/>
        <v>-5.1168628521934334</v>
      </c>
      <c r="C7" s="2">
        <v>0.43101460000000003</v>
      </c>
      <c r="D7" s="2">
        <v>0.48170649999999998</v>
      </c>
      <c r="E7" s="2">
        <v>0.44376729999999998</v>
      </c>
      <c r="F7" s="2">
        <v>0.3006278</v>
      </c>
      <c r="G7" s="2">
        <v>0.2517279</v>
      </c>
      <c r="H7" s="2">
        <v>0.28412730000000003</v>
      </c>
      <c r="I7" s="2">
        <v>0.3507361</v>
      </c>
      <c r="J7" s="2">
        <v>0.3129961</v>
      </c>
      <c r="K7" s="2">
        <v>0.30197659999999998</v>
      </c>
      <c r="L7" s="2">
        <v>0.30880069999999998</v>
      </c>
    </row>
    <row r="8" spans="1:12" x14ac:dyDescent="0.3">
      <c r="A8" s="2">
        <v>1.6681000000000001E-2</v>
      </c>
      <c r="B8">
        <f t="shared" si="0"/>
        <v>-4.0934849318102184</v>
      </c>
      <c r="C8" s="2">
        <v>0.43176249999999999</v>
      </c>
      <c r="D8" s="2">
        <v>0.48489510000000002</v>
      </c>
      <c r="E8" s="2">
        <v>0.44432310000000003</v>
      </c>
      <c r="F8" s="2">
        <v>0.29837459999999999</v>
      </c>
      <c r="G8" s="2">
        <v>0.25926529999999998</v>
      </c>
      <c r="H8" s="2">
        <v>0.2977477</v>
      </c>
      <c r="I8" s="2">
        <v>0.36207450000000002</v>
      </c>
      <c r="J8" s="2">
        <v>0.31673249999999997</v>
      </c>
      <c r="K8" s="2">
        <v>0.30185309999999999</v>
      </c>
      <c r="L8" s="2">
        <v>0.3079094</v>
      </c>
    </row>
    <row r="9" spans="1:12" x14ac:dyDescent="0.3">
      <c r="A9" s="2">
        <v>4.6415999999999999E-2</v>
      </c>
      <c r="B9">
        <f t="shared" si="0"/>
        <v>-3.0701110516030887</v>
      </c>
      <c r="C9" s="2">
        <v>0.43368299999999999</v>
      </c>
      <c r="D9" s="2">
        <v>0.4930928</v>
      </c>
      <c r="E9" s="2">
        <v>0.44592009999999999</v>
      </c>
      <c r="F9" s="2">
        <v>0.29349930000000002</v>
      </c>
      <c r="G9" s="2">
        <v>0.28187400000000001</v>
      </c>
      <c r="H9" s="2">
        <v>0.34004010000000001</v>
      </c>
      <c r="I9" s="2">
        <v>0.39277899999999999</v>
      </c>
      <c r="J9" s="2">
        <v>0.32590019999999997</v>
      </c>
      <c r="K9" s="2">
        <v>0.30130620000000002</v>
      </c>
      <c r="L9" s="2">
        <v>0.30543809999999999</v>
      </c>
    </row>
    <row r="10" spans="1:12" x14ac:dyDescent="0.3">
      <c r="A10" s="2">
        <v>0.12914999999999999</v>
      </c>
      <c r="B10">
        <f t="shared" si="0"/>
        <v>-2.0467807594402876</v>
      </c>
      <c r="C10" s="2">
        <v>0.44177840000000002</v>
      </c>
      <c r="D10" s="2">
        <v>0.51338930000000005</v>
      </c>
      <c r="E10" s="2">
        <v>0.45221210000000001</v>
      </c>
      <c r="F10" s="2">
        <v>0.2917804</v>
      </c>
      <c r="G10" s="2">
        <v>0.3801216</v>
      </c>
      <c r="H10" s="2">
        <v>0.45536070000000001</v>
      </c>
      <c r="I10" s="2">
        <v>0.46576919999999999</v>
      </c>
      <c r="J10" s="2">
        <v>0.36252060000000003</v>
      </c>
      <c r="K10" s="2">
        <v>0.31556919999999999</v>
      </c>
      <c r="L10" s="2">
        <v>0.2980602</v>
      </c>
    </row>
    <row r="11" spans="1:12" x14ac:dyDescent="0.3">
      <c r="A11" s="2">
        <v>0.35937999999999998</v>
      </c>
      <c r="B11">
        <f t="shared" si="0"/>
        <v>-1.0233749544838295</v>
      </c>
      <c r="C11" s="2">
        <v>0.46959600000000001</v>
      </c>
      <c r="D11" s="2">
        <v>0.58083779999999996</v>
      </c>
      <c r="E11" s="2">
        <v>0.55953109999999995</v>
      </c>
      <c r="F11" s="2">
        <v>0.54983680000000001</v>
      </c>
      <c r="G11" s="2">
        <v>0.62316349999999998</v>
      </c>
      <c r="H11" s="2">
        <v>0.67181900000000006</v>
      </c>
      <c r="I11" s="2">
        <v>0.65833739999999996</v>
      </c>
      <c r="J11" s="2">
        <v>0.47388330000000001</v>
      </c>
      <c r="K11" s="2">
        <v>0.36902790000000002</v>
      </c>
      <c r="L11" s="2">
        <v>0.2974926</v>
      </c>
    </row>
    <row r="12" spans="1:12" x14ac:dyDescent="0.3">
      <c r="A12" s="2">
        <v>1</v>
      </c>
      <c r="B12">
        <f t="shared" si="0"/>
        <v>0</v>
      </c>
      <c r="C12" s="2">
        <v>0.5437208</v>
      </c>
      <c r="D12" s="2">
        <v>0.63411200000000001</v>
      </c>
      <c r="E12" s="2">
        <v>0.61021919999999996</v>
      </c>
      <c r="F12" s="2">
        <v>0.62761909999999999</v>
      </c>
      <c r="G12" s="2">
        <v>0.69069139999999996</v>
      </c>
      <c r="H12" s="2">
        <v>0.77435860000000001</v>
      </c>
      <c r="I12" s="2">
        <v>0.85130589999999995</v>
      </c>
      <c r="J12" s="2">
        <v>0.74010019999999999</v>
      </c>
      <c r="K12" s="2">
        <v>0.54470430000000003</v>
      </c>
      <c r="L12" s="2">
        <v>0.3527438</v>
      </c>
    </row>
    <row r="16" spans="1:12" x14ac:dyDescent="0.3">
      <c r="A16" t="s">
        <v>3</v>
      </c>
      <c r="C16" t="s">
        <v>2</v>
      </c>
    </row>
    <row r="17" spans="1:12" x14ac:dyDescent="0.3">
      <c r="A17" t="s">
        <v>1</v>
      </c>
      <c r="C17" s="1">
        <v>0.05</v>
      </c>
      <c r="D17" s="1">
        <v>0.15</v>
      </c>
      <c r="E17">
        <v>0.25</v>
      </c>
      <c r="F17">
        <v>0.35</v>
      </c>
      <c r="G17">
        <v>0.45</v>
      </c>
      <c r="H17" s="1">
        <v>0.55000000000000004</v>
      </c>
      <c r="I17" s="1">
        <v>0.65</v>
      </c>
      <c r="J17" s="1">
        <v>0.75</v>
      </c>
      <c r="K17" s="1">
        <v>0.85</v>
      </c>
      <c r="L17" s="1">
        <v>0.95</v>
      </c>
    </row>
    <row r="18" spans="1:12" x14ac:dyDescent="0.3">
      <c r="A18" s="2">
        <v>1E-4</v>
      </c>
      <c r="B18">
        <f>LN(A18)</f>
        <v>-9.2103403719761818</v>
      </c>
      <c r="C18" s="2">
        <v>2.630655E-5</v>
      </c>
      <c r="D18" s="2">
        <v>3.0088880000000001E-5</v>
      </c>
      <c r="E18" s="2">
        <v>3.3946940000000001E-5</v>
      </c>
      <c r="F18" s="2">
        <v>3.8379120000000001E-5</v>
      </c>
      <c r="G18" s="2">
        <v>3.9902910000000001E-5</v>
      </c>
      <c r="H18" s="2">
        <v>2.3305609999999999E-4</v>
      </c>
      <c r="I18" s="2">
        <v>5.5270089999999997E-5</v>
      </c>
      <c r="J18" s="2">
        <v>7.6509359999999993E-5</v>
      </c>
      <c r="K18" s="2">
        <v>7.6037940000000002E-5</v>
      </c>
      <c r="L18" s="2">
        <v>1.3321749999999999E-4</v>
      </c>
    </row>
    <row r="19" spans="1:12" x14ac:dyDescent="0.3">
      <c r="A19" s="2">
        <v>2.7826000000000001E-4</v>
      </c>
      <c r="B19">
        <f t="shared" ref="B19:B27" si="1">LN(A19)</f>
        <v>-8.1869546295505433</v>
      </c>
      <c r="C19" s="2">
        <v>2.631077E-5</v>
      </c>
      <c r="D19" s="2">
        <v>3.0098380000000002E-5</v>
      </c>
      <c r="E19" s="2">
        <v>3.3957339999999997E-5</v>
      </c>
      <c r="F19" s="2">
        <v>3.8392429999999997E-5</v>
      </c>
      <c r="G19" s="2">
        <v>3.9916239999999999E-5</v>
      </c>
      <c r="H19" s="2">
        <v>2.331255E-4</v>
      </c>
      <c r="I19" s="2">
        <v>5.5308079999999999E-5</v>
      </c>
      <c r="J19" s="2">
        <v>7.6557970000000006E-5</v>
      </c>
      <c r="K19" s="2">
        <v>7.605438E-5</v>
      </c>
      <c r="L19" s="2">
        <v>1.332111E-4</v>
      </c>
    </row>
    <row r="20" spans="1:12" x14ac:dyDescent="0.3">
      <c r="A20" s="2">
        <v>7.7426000000000003E-4</v>
      </c>
      <c r="B20">
        <f t="shared" si="1"/>
        <v>-7.163602823469474</v>
      </c>
      <c r="C20" s="2">
        <v>2.6315330000000001E-5</v>
      </c>
      <c r="D20" s="2">
        <v>3.0114540000000001E-5</v>
      </c>
      <c r="E20" s="2">
        <v>3.398305E-5</v>
      </c>
      <c r="F20" s="2">
        <v>3.8418550000000002E-5</v>
      </c>
      <c r="G20" s="2">
        <v>3.9943179999999999E-5</v>
      </c>
      <c r="H20" s="2">
        <v>2.3294200000000001E-4</v>
      </c>
      <c r="I20" s="2">
        <v>5.5370859999999999E-5</v>
      </c>
      <c r="J20" s="2">
        <v>7.6679820000000005E-5</v>
      </c>
      <c r="K20" s="2">
        <v>7.6125269999999999E-5</v>
      </c>
      <c r="L20" s="2">
        <v>1.3319300000000001E-4</v>
      </c>
    </row>
    <row r="21" spans="1:12" x14ac:dyDescent="0.3">
      <c r="A21" s="2">
        <v>2.1543999999999999E-3</v>
      </c>
      <c r="B21">
        <f t="shared" si="1"/>
        <v>-6.1402430164668846</v>
      </c>
      <c r="C21" s="2">
        <v>2.6342800000000001E-5</v>
      </c>
      <c r="D21" s="2">
        <v>3.0169189999999998E-5</v>
      </c>
      <c r="E21" s="2">
        <v>3.4053919999999997E-5</v>
      </c>
      <c r="F21" s="2">
        <v>3.8483060000000001E-5</v>
      </c>
      <c r="G21" s="2">
        <v>3.9882880000000003E-5</v>
      </c>
      <c r="H21" s="2">
        <v>2.3343539999999999E-4</v>
      </c>
      <c r="I21" s="2">
        <v>5.55646E-5</v>
      </c>
      <c r="J21" s="2">
        <v>7.7001469999999996E-5</v>
      </c>
      <c r="K21" s="2">
        <v>7.6450529999999998E-5</v>
      </c>
      <c r="L21" s="2">
        <v>1.331583E-4</v>
      </c>
    </row>
    <row r="22" spans="1:12" x14ac:dyDescent="0.3">
      <c r="A22" s="2">
        <v>5.9947999999999998E-3</v>
      </c>
      <c r="B22">
        <f t="shared" si="1"/>
        <v>-5.1168628521934334</v>
      </c>
      <c r="C22" s="2">
        <v>2.641393E-5</v>
      </c>
      <c r="D22" s="2">
        <v>3.0317050000000001E-5</v>
      </c>
      <c r="E22" s="2">
        <v>3.4266449999999998E-5</v>
      </c>
      <c r="F22" s="2">
        <v>3.8789350000000002E-5</v>
      </c>
      <c r="G22" s="2">
        <v>3.9845290000000002E-5</v>
      </c>
      <c r="H22" s="2">
        <v>2.3403430000000001E-4</v>
      </c>
      <c r="I22" s="2">
        <v>5.6037179999999998E-5</v>
      </c>
      <c r="J22" s="2">
        <v>7.7834919999999997E-5</v>
      </c>
      <c r="K22" s="2">
        <v>7.7034560000000007E-5</v>
      </c>
      <c r="L22" s="2">
        <v>1.3316080000000001E-4</v>
      </c>
    </row>
    <row r="23" spans="1:12" x14ac:dyDescent="0.3">
      <c r="A23" s="2">
        <v>1.6681000000000001E-2</v>
      </c>
      <c r="B23">
        <f t="shared" si="1"/>
        <v>-4.0934849318102184</v>
      </c>
      <c r="C23" s="2">
        <v>2.6621050000000002E-5</v>
      </c>
      <c r="D23" s="2">
        <v>3.0690669999999999E-5</v>
      </c>
      <c r="E23" s="2">
        <v>3.4854370000000001E-5</v>
      </c>
      <c r="F23" s="2">
        <v>3.9547510000000001E-5</v>
      </c>
      <c r="G23" s="2">
        <v>3.9840750000000003E-5</v>
      </c>
      <c r="H23" s="2">
        <v>2.3679659999999999E-4</v>
      </c>
      <c r="I23" s="2">
        <v>5.7612470000000002E-5</v>
      </c>
      <c r="J23" s="2">
        <v>7.9930240000000005E-5</v>
      </c>
      <c r="K23" s="2">
        <v>7.9039620000000003E-5</v>
      </c>
      <c r="L23" s="2">
        <v>1.3316639999999999E-4</v>
      </c>
    </row>
    <row r="24" spans="1:12" x14ac:dyDescent="0.3">
      <c r="A24" s="2">
        <v>4.6415999999999999E-2</v>
      </c>
      <c r="B24">
        <f t="shared" si="1"/>
        <v>-3.0701110516030887</v>
      </c>
      <c r="C24" s="2">
        <v>2.7258850000000001E-5</v>
      </c>
      <c r="D24" s="2">
        <v>3.1892169999999997E-5</v>
      </c>
      <c r="E24" s="2">
        <v>3.6520399999999997E-5</v>
      </c>
      <c r="F24" s="2">
        <v>4.1586350000000002E-5</v>
      </c>
      <c r="G24" s="2">
        <v>4.0920649999999999E-5</v>
      </c>
      <c r="H24" s="2">
        <v>2.5102609999999999E-4</v>
      </c>
      <c r="I24" s="2">
        <v>6.3084710000000003E-5</v>
      </c>
      <c r="J24" s="2">
        <v>8.6582599999999993E-5</v>
      </c>
      <c r="K24" s="2">
        <v>8.5048010000000004E-5</v>
      </c>
      <c r="L24" s="2">
        <v>1.332335E-4</v>
      </c>
    </row>
    <row r="25" spans="1:12" x14ac:dyDescent="0.3">
      <c r="A25" s="2">
        <v>0.12914999999999999</v>
      </c>
      <c r="B25">
        <f t="shared" si="1"/>
        <v>-2.0467807594402876</v>
      </c>
      <c r="C25" s="2">
        <v>9.5244759999999997E-5</v>
      </c>
      <c r="D25" s="2">
        <v>3.6383819999999997E-5</v>
      </c>
      <c r="E25" s="2">
        <v>4.1255270000000003E-5</v>
      </c>
      <c r="F25" s="2">
        <v>4.6269810000000003E-5</v>
      </c>
      <c r="G25" s="2">
        <v>5.3311840000000003E-5</v>
      </c>
      <c r="H25" s="2">
        <v>3.6572999999999998E-4</v>
      </c>
      <c r="I25" s="2">
        <v>8.6959540000000003E-5</v>
      </c>
      <c r="J25" s="2">
        <v>1.05816E-4</v>
      </c>
      <c r="K25" s="2">
        <v>9.9967939999999998E-5</v>
      </c>
      <c r="L25" s="2">
        <v>1.3412410000000001E-4</v>
      </c>
    </row>
    <row r="26" spans="1:12" x14ac:dyDescent="0.3">
      <c r="A26" s="2">
        <v>0.35937999999999998</v>
      </c>
      <c r="B26">
        <f t="shared" si="1"/>
        <v>-1.0233749544838295</v>
      </c>
      <c r="C26" s="2">
        <v>8.6570310000000004E-4</v>
      </c>
      <c r="D26" s="2">
        <v>2.302704E-4</v>
      </c>
      <c r="E26" s="2">
        <v>1.5410869999999999E-4</v>
      </c>
      <c r="F26" s="2">
        <v>1.6260020000000001E-4</v>
      </c>
      <c r="G26" s="2">
        <v>1.8677289999999999E-4</v>
      </c>
      <c r="H26" s="2">
        <v>1.0119339999999999E-3</v>
      </c>
      <c r="I26" s="2">
        <v>1.9492190000000001E-4</v>
      </c>
      <c r="J26" s="2">
        <v>1.7916669999999999E-4</v>
      </c>
      <c r="K26" s="2">
        <v>1.5393000000000001E-4</v>
      </c>
      <c r="L26" s="2">
        <v>1.337283E-4</v>
      </c>
    </row>
    <row r="27" spans="1:12" x14ac:dyDescent="0.3">
      <c r="A27" s="2">
        <v>1</v>
      </c>
      <c r="B27">
        <f t="shared" si="1"/>
        <v>0</v>
      </c>
      <c r="C27" s="2">
        <v>6.4168020000000001E-3</v>
      </c>
      <c r="D27" s="2">
        <v>2.0795789999999998E-3</v>
      </c>
      <c r="E27" s="2">
        <v>1.446405E-3</v>
      </c>
      <c r="F27" s="2">
        <v>1.278937E-3</v>
      </c>
      <c r="G27" s="2">
        <v>1.133645E-3</v>
      </c>
      <c r="H27" s="2">
        <v>5.4365359999999996E-3</v>
      </c>
      <c r="I27" s="2">
        <v>9.4765080000000002E-4</v>
      </c>
      <c r="J27" s="2">
        <v>5.5750039999999997E-4</v>
      </c>
      <c r="K27" s="2">
        <v>3.5145489999999999E-4</v>
      </c>
      <c r="L27" s="2">
        <v>1.6804870000000001E-4</v>
      </c>
    </row>
    <row r="31" spans="1:12" x14ac:dyDescent="0.3">
      <c r="A31" t="s">
        <v>4</v>
      </c>
      <c r="C31" t="s">
        <v>2</v>
      </c>
    </row>
    <row r="32" spans="1:12" x14ac:dyDescent="0.3">
      <c r="A32" t="s">
        <v>1</v>
      </c>
      <c r="C32" s="1">
        <v>0.05</v>
      </c>
      <c r="D32" s="1">
        <v>0.15</v>
      </c>
      <c r="E32">
        <v>0.25</v>
      </c>
      <c r="F32">
        <v>0.35</v>
      </c>
      <c r="G32">
        <v>0.45</v>
      </c>
      <c r="H32" s="1">
        <v>0.55000000000000004</v>
      </c>
      <c r="I32" s="1">
        <v>0.65</v>
      </c>
      <c r="J32" s="1">
        <v>0.75</v>
      </c>
      <c r="K32" s="1">
        <v>0.85</v>
      </c>
      <c r="L32" s="1">
        <v>0.95</v>
      </c>
    </row>
    <row r="33" spans="1:12" x14ac:dyDescent="0.3">
      <c r="A33" s="2">
        <v>1E-4</v>
      </c>
      <c r="B33">
        <f>LN(A33)</f>
        <v>-9.2103403719761818</v>
      </c>
      <c r="C33" s="2">
        <v>0.41494690000000001</v>
      </c>
      <c r="D33" s="2">
        <v>0.4998455</v>
      </c>
      <c r="E33" s="2">
        <v>0.44651809999999997</v>
      </c>
      <c r="F33" s="2">
        <v>0.3532344</v>
      </c>
      <c r="G33" s="2">
        <v>0.3625081</v>
      </c>
      <c r="H33" s="2">
        <v>0.347051</v>
      </c>
      <c r="I33" s="2">
        <v>0.34818640000000001</v>
      </c>
      <c r="J33" s="2">
        <v>0.36802760000000001</v>
      </c>
      <c r="K33" s="2">
        <v>0.4067268</v>
      </c>
      <c r="L33" s="2">
        <v>0.44198969999999999</v>
      </c>
    </row>
    <row r="34" spans="1:12" x14ac:dyDescent="0.3">
      <c r="A34" s="2">
        <v>2.7826000000000001E-4</v>
      </c>
      <c r="B34">
        <f t="shared" ref="B34:B42" si="2">LN(A34)</f>
        <v>-8.1869546295505433</v>
      </c>
      <c r="C34" s="2">
        <v>0.4149737</v>
      </c>
      <c r="D34" s="2">
        <v>0.49972709999999998</v>
      </c>
      <c r="E34" s="2">
        <v>0.44640940000000001</v>
      </c>
      <c r="F34" s="2">
        <v>0.3533173</v>
      </c>
      <c r="G34" s="2">
        <v>0.36258190000000001</v>
      </c>
      <c r="H34" s="2">
        <v>0.34712140000000002</v>
      </c>
      <c r="I34" s="2">
        <v>0.34824040000000001</v>
      </c>
      <c r="J34" s="2">
        <v>0.36811139999999998</v>
      </c>
      <c r="K34" s="2">
        <v>0.40673609999999999</v>
      </c>
      <c r="L34" s="2">
        <v>0.44199060000000001</v>
      </c>
    </row>
    <row r="35" spans="1:12" x14ac:dyDescent="0.3">
      <c r="A35" s="2">
        <v>7.7426000000000003E-4</v>
      </c>
      <c r="B35">
        <f t="shared" si="2"/>
        <v>-7.163602823469474</v>
      </c>
      <c r="C35" s="2">
        <v>0.41504079999999999</v>
      </c>
      <c r="D35" s="2">
        <v>0.49979309999999999</v>
      </c>
      <c r="E35" s="2">
        <v>0.44592989999999999</v>
      </c>
      <c r="F35" s="2">
        <v>0.35327819999999999</v>
      </c>
      <c r="G35" s="2">
        <v>0.36265350000000002</v>
      </c>
      <c r="H35" s="2">
        <v>0.34688210000000003</v>
      </c>
      <c r="I35" s="2">
        <v>0.34818470000000001</v>
      </c>
      <c r="J35" s="2">
        <v>0.3680158</v>
      </c>
      <c r="K35" s="2">
        <v>0.40694380000000002</v>
      </c>
      <c r="L35" s="2">
        <v>0.44199310000000003</v>
      </c>
    </row>
    <row r="36" spans="1:12" x14ac:dyDescent="0.3">
      <c r="A36" s="2">
        <v>2.1543999999999999E-3</v>
      </c>
      <c r="B36">
        <f t="shared" si="2"/>
        <v>-6.1402430164668846</v>
      </c>
      <c r="C36" s="2">
        <v>0.4145914</v>
      </c>
      <c r="D36" s="2">
        <v>0.49951800000000002</v>
      </c>
      <c r="E36" s="2">
        <v>0.445191</v>
      </c>
      <c r="F36" s="2">
        <v>0.35305110000000001</v>
      </c>
      <c r="G36" s="2">
        <v>0.36245240000000001</v>
      </c>
      <c r="H36" s="2">
        <v>0.34674280000000002</v>
      </c>
      <c r="I36" s="2">
        <v>0.34810740000000001</v>
      </c>
      <c r="J36" s="2">
        <v>0.36825380000000002</v>
      </c>
      <c r="K36" s="2">
        <v>0.40670630000000002</v>
      </c>
      <c r="L36" s="2">
        <v>0.44180269999999999</v>
      </c>
    </row>
    <row r="37" spans="1:12" x14ac:dyDescent="0.3">
      <c r="A37" s="2">
        <v>5.9947999999999998E-3</v>
      </c>
      <c r="B37">
        <f t="shared" si="2"/>
        <v>-5.1168628521934334</v>
      </c>
      <c r="C37" s="2">
        <v>0.4147691</v>
      </c>
      <c r="D37" s="2">
        <v>0.49851220000000002</v>
      </c>
      <c r="E37" s="2">
        <v>0.44226989999999999</v>
      </c>
      <c r="F37" s="2">
        <v>0.35385349999999999</v>
      </c>
      <c r="G37" s="2">
        <v>0.36150919999999998</v>
      </c>
      <c r="H37" s="2">
        <v>0.34703440000000002</v>
      </c>
      <c r="I37" s="2">
        <v>0.34783750000000002</v>
      </c>
      <c r="J37" s="2">
        <v>0.36839430000000001</v>
      </c>
      <c r="K37" s="2">
        <v>0.40700360000000002</v>
      </c>
      <c r="L37" s="2">
        <v>0.4416292</v>
      </c>
    </row>
    <row r="38" spans="1:12" x14ac:dyDescent="0.3">
      <c r="A38" s="2">
        <v>1.6681000000000001E-2</v>
      </c>
      <c r="B38">
        <f t="shared" si="2"/>
        <v>-4.0934849318102184</v>
      </c>
      <c r="C38" s="2">
        <v>0.41349160000000001</v>
      </c>
      <c r="D38" s="2">
        <v>0.49641879999999999</v>
      </c>
      <c r="E38" s="2">
        <v>0.43417790000000001</v>
      </c>
      <c r="F38" s="2">
        <v>0.35766039999999999</v>
      </c>
      <c r="G38" s="2">
        <v>0.36196270000000003</v>
      </c>
      <c r="H38" s="2">
        <v>0.34732439999999998</v>
      </c>
      <c r="I38" s="2">
        <v>0.34873399999999999</v>
      </c>
      <c r="J38" s="2">
        <v>0.36946669999999998</v>
      </c>
      <c r="K38" s="2">
        <v>0.4068947</v>
      </c>
      <c r="L38" s="2">
        <v>0.44214100000000001</v>
      </c>
    </row>
    <row r="39" spans="1:12" x14ac:dyDescent="0.3">
      <c r="A39" s="2">
        <v>4.6415999999999999E-2</v>
      </c>
      <c r="B39">
        <f t="shared" si="2"/>
        <v>-3.0701110516030887</v>
      </c>
      <c r="C39" s="2">
        <v>0.40913840000000001</v>
      </c>
      <c r="D39" s="2">
        <v>0.49028329999999998</v>
      </c>
      <c r="E39" s="2">
        <v>0.4096727</v>
      </c>
      <c r="F39" s="2">
        <v>0.36803130000000001</v>
      </c>
      <c r="G39" s="2">
        <v>0.36295470000000002</v>
      </c>
      <c r="H39" s="2">
        <v>0.34852030000000001</v>
      </c>
      <c r="I39" s="2">
        <v>0.3502593</v>
      </c>
      <c r="J39" s="2">
        <v>0.3706219</v>
      </c>
      <c r="K39" s="2">
        <v>0.40688479999999999</v>
      </c>
      <c r="L39" s="2">
        <v>0.44444060000000002</v>
      </c>
    </row>
    <row r="40" spans="1:12" x14ac:dyDescent="0.3">
      <c r="A40" s="2">
        <v>0.12914999999999999</v>
      </c>
      <c r="B40">
        <f t="shared" si="2"/>
        <v>-2.0467807594402876</v>
      </c>
      <c r="C40" s="2">
        <v>0.43406470000000003</v>
      </c>
      <c r="D40" s="2">
        <v>0.47770550000000001</v>
      </c>
      <c r="E40" s="2">
        <v>0.36798570000000003</v>
      </c>
      <c r="F40" s="2">
        <v>0.36998449999999999</v>
      </c>
      <c r="G40" s="2">
        <v>0.36246929999999999</v>
      </c>
      <c r="H40" s="2">
        <v>0.34821220000000003</v>
      </c>
      <c r="I40" s="2">
        <v>0.34771429999999998</v>
      </c>
      <c r="J40" s="2">
        <v>0.37372280000000002</v>
      </c>
      <c r="K40" s="2">
        <v>0.41186529999999999</v>
      </c>
      <c r="L40" s="2">
        <v>0.44893460000000002</v>
      </c>
    </row>
    <row r="41" spans="1:12" x14ac:dyDescent="0.3">
      <c r="A41" s="2">
        <v>0.35937999999999998</v>
      </c>
      <c r="B41">
        <f t="shared" si="2"/>
        <v>-1.0233749544838295</v>
      </c>
      <c r="C41" s="2">
        <v>0.86654529999999996</v>
      </c>
      <c r="D41" s="2">
        <v>0.35938140000000002</v>
      </c>
      <c r="E41" s="2">
        <v>8.8886690000000002</v>
      </c>
      <c r="F41" s="2">
        <v>27.376850000000001</v>
      </c>
      <c r="G41" s="2">
        <v>0.30007539999999999</v>
      </c>
      <c r="H41" s="2">
        <v>0.3282873</v>
      </c>
      <c r="I41" s="2">
        <v>0.30523879999999998</v>
      </c>
      <c r="J41" s="2">
        <v>0.35766559999999997</v>
      </c>
      <c r="K41" s="2">
        <v>0.41667789999999999</v>
      </c>
      <c r="L41" s="2">
        <v>0.45487610000000001</v>
      </c>
    </row>
    <row r="42" spans="1:12" x14ac:dyDescent="0.3">
      <c r="A42" s="2">
        <v>1</v>
      </c>
      <c r="B42">
        <f t="shared" si="2"/>
        <v>0</v>
      </c>
      <c r="C42" s="2">
        <v>3.8594909999999998</v>
      </c>
      <c r="D42" s="2">
        <v>9.2611880000000006</v>
      </c>
      <c r="E42" s="2">
        <v>54.817430000000002</v>
      </c>
      <c r="F42" s="2">
        <v>129.77869999999999</v>
      </c>
      <c r="G42" s="2">
        <v>49.144179999999999</v>
      </c>
      <c r="H42" s="2">
        <v>52.605989999999998</v>
      </c>
      <c r="I42" s="2">
        <v>164.244</v>
      </c>
      <c r="J42" s="2">
        <v>204.86770000000001</v>
      </c>
      <c r="K42" s="2">
        <v>211.51580000000001</v>
      </c>
      <c r="L42" s="2">
        <v>0.453343</v>
      </c>
    </row>
    <row r="45" spans="1:12" x14ac:dyDescent="0.3">
      <c r="A45" t="s">
        <v>5</v>
      </c>
      <c r="C45" t="s">
        <v>2</v>
      </c>
    </row>
    <row r="46" spans="1:12" x14ac:dyDescent="0.3">
      <c r="C46" s="1">
        <v>0.05</v>
      </c>
      <c r="D46" s="1">
        <v>0.15</v>
      </c>
      <c r="E46">
        <v>0.25</v>
      </c>
      <c r="F46">
        <v>0.35</v>
      </c>
      <c r="G46">
        <v>0.45</v>
      </c>
      <c r="H46" s="1">
        <v>0.55000000000000004</v>
      </c>
      <c r="I46" s="1">
        <v>0.65</v>
      </c>
      <c r="J46" s="1">
        <v>0.75</v>
      </c>
      <c r="K46" s="1">
        <v>0.85</v>
      </c>
      <c r="L46" s="1">
        <v>0.95</v>
      </c>
    </row>
    <row r="47" spans="1:12" x14ac:dyDescent="0.3">
      <c r="A47" t="s">
        <v>1</v>
      </c>
      <c r="B47" s="2">
        <v>1E-4</v>
      </c>
      <c r="C47" s="2"/>
      <c r="D47" s="2"/>
      <c r="E47" s="2"/>
      <c r="F47" s="2"/>
      <c r="G47" s="2"/>
      <c r="H47" s="2"/>
      <c r="I47" s="2"/>
    </row>
    <row r="48" spans="1:12" x14ac:dyDescent="0.3">
      <c r="B48" s="2">
        <v>2.7826000000000001E-4</v>
      </c>
      <c r="C48" s="2"/>
      <c r="D48" s="2"/>
      <c r="E48" s="2"/>
      <c r="F48" s="2"/>
      <c r="G48" s="2"/>
      <c r="H48" s="2"/>
      <c r="I48" s="2"/>
    </row>
    <row r="49" spans="2:9" x14ac:dyDescent="0.3">
      <c r="B49" s="2">
        <v>7.7426000000000003E-4</v>
      </c>
      <c r="C49" s="2"/>
      <c r="D49" s="2"/>
      <c r="E49" s="2"/>
      <c r="F49" s="2"/>
      <c r="G49" s="2"/>
      <c r="H49" s="2"/>
      <c r="I49" s="2"/>
    </row>
    <row r="50" spans="2:9" x14ac:dyDescent="0.3">
      <c r="B50" s="2">
        <v>2.1543999999999999E-3</v>
      </c>
      <c r="C50" s="2"/>
      <c r="D50" s="2"/>
      <c r="E50" s="2"/>
      <c r="F50" s="2"/>
      <c r="G50" s="2"/>
      <c r="H50" s="2"/>
      <c r="I50" s="2"/>
    </row>
    <row r="51" spans="2:9" x14ac:dyDescent="0.3">
      <c r="B51" s="2">
        <v>5.9947999999999998E-3</v>
      </c>
      <c r="C51" s="2"/>
      <c r="D51" s="2"/>
      <c r="E51" s="2"/>
      <c r="F51" s="2"/>
      <c r="G51" s="2"/>
      <c r="H51" s="2"/>
    </row>
    <row r="52" spans="2:9" x14ac:dyDescent="0.3">
      <c r="B52" s="2">
        <v>1.6681000000000001E-2</v>
      </c>
      <c r="C52" s="2"/>
      <c r="D52" s="2"/>
      <c r="E52" s="2"/>
      <c r="F52" s="2"/>
      <c r="G52" s="2"/>
      <c r="H52" s="2"/>
    </row>
    <row r="53" spans="2:9" x14ac:dyDescent="0.3">
      <c r="B53" s="2">
        <v>4.6415999999999999E-2</v>
      </c>
      <c r="C53" s="2"/>
      <c r="D53" s="2"/>
      <c r="E53" s="2"/>
      <c r="F53" s="2"/>
      <c r="G53" s="2"/>
      <c r="H53" s="2"/>
    </row>
    <row r="54" spans="2:9" x14ac:dyDescent="0.3">
      <c r="B54" s="2">
        <v>0.12914999999999999</v>
      </c>
      <c r="C54" s="2"/>
      <c r="D54" s="2"/>
      <c r="E54" s="2"/>
      <c r="F54" s="2"/>
      <c r="G54" s="2"/>
      <c r="H54" s="2"/>
    </row>
    <row r="55" spans="2:9" x14ac:dyDescent="0.3">
      <c r="B55" s="2">
        <v>0.35937999999999998</v>
      </c>
      <c r="C55" s="2"/>
      <c r="D55" s="2"/>
      <c r="E55" s="2"/>
      <c r="F55" s="2"/>
      <c r="G55" s="2"/>
      <c r="H55" s="2"/>
    </row>
    <row r="56" spans="2:9" x14ac:dyDescent="0.3">
      <c r="B56" s="2">
        <v>1</v>
      </c>
      <c r="C56" s="2"/>
      <c r="D56" s="2"/>
      <c r="E56" s="2"/>
      <c r="F56" s="2"/>
      <c r="G56" s="2"/>
      <c r="H56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이승원(기계공학과)</dc:creator>
  <cp:lastModifiedBy>이승원(기계공학과)</cp:lastModifiedBy>
  <dcterms:created xsi:type="dcterms:W3CDTF">2026-01-17T13:40:16Z</dcterms:created>
  <dcterms:modified xsi:type="dcterms:W3CDTF">2026-01-22T07:41:21Z</dcterms:modified>
</cp:coreProperties>
</file>